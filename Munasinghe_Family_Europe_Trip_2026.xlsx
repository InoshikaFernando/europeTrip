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Calendar" sheetId="2" state="visible" r:id="rId2"/>
    <sheet xmlns:r="http://schemas.openxmlformats.org/officeDocument/2006/relationships" name="Day-by-Day" sheetId="3" state="visible" r:id="rId3"/>
    <sheet xmlns:r="http://schemas.openxmlformats.org/officeDocument/2006/relationships" name="Mass Options" sheetId="4" state="visible" r:id="rId4"/>
    <sheet xmlns:r="http://schemas.openxmlformats.org/officeDocument/2006/relationships" name="Transit" sheetId="5" state="visible" r:id="rId5"/>
    <sheet xmlns:r="http://schemas.openxmlformats.org/officeDocument/2006/relationships" name="Bookings" sheetId="6" state="visible" r:id="rId6"/>
    <sheet xmlns:r="http://schemas.openxmlformats.org/officeDocument/2006/relationships" name="Cities" sheetId="7" state="visible" r:id="rId7"/>
    <sheet xmlns:r="http://schemas.openxmlformats.org/officeDocument/2006/relationships" name="Flights" sheetId="8" state="visible" r:id="rId8"/>
    <sheet xmlns:r="http://schemas.openxmlformats.org/officeDocument/2006/relationships" name="Cos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color theme="1"/>
      <sz val="11"/>
      <scheme val="minor"/>
    </font>
    <font>
      <name val="Arial"/>
      <b val="1"/>
      <color rgb="FF0D1B2A"/>
      <sz val="16"/>
    </font>
    <font>
      <name val="Calibri"/>
      <color theme="1"/>
      <sz val="11"/>
    </font>
    <font>
      <name val="Arial"/>
      <i val="1"/>
      <color rgb="FF6B6B6B"/>
      <sz val="10"/>
    </font>
    <font>
      <name val="Arial"/>
      <b val="1"/>
      <color rgb="FFFFFFFF"/>
      <sz val="11"/>
    </font>
    <font>
      <name val="Arial"/>
      <b val="1"/>
      <color theme="1"/>
      <sz val="11"/>
    </font>
    <font>
      <name val="Arial"/>
      <color theme="1"/>
      <sz val="11"/>
    </font>
    <font>
      <name val="Arial"/>
      <b val="1"/>
      <color rgb="FF0D1B2A"/>
      <sz val="11"/>
    </font>
    <font>
      <name val="Arial"/>
      <color rgb="FF0563C1"/>
      <sz val="11"/>
    </font>
    <font>
      <name val="Arial"/>
      <color rgb="FF0563C1"/>
      <sz val="11"/>
      <u val="single"/>
    </font>
    <font/>
    <font>
      <name val="Arial"/>
      <color rgb="FF0563C1"/>
      <sz val="11"/>
      <u val="single"/>
    </font>
    <font>
      <name val="Calibri"/>
      <color theme="1"/>
    </font>
    <font>
      <name val="Calibri"/>
      <b val="1"/>
      <color theme="1"/>
      <sz val="11"/>
    </font>
    <font>
      <name val="Calibri"/>
      <b val="1"/>
      <color rgb="FFFFFFFF"/>
      <sz val="12"/>
      <scheme val="minor"/>
    </font>
    <font>
      <name val="Calibri"/>
      <b val="1"/>
      <color rgb="FF000000"/>
      <sz val="11"/>
      <scheme val="minor"/>
    </font>
    <font>
      <name val="Calibri"/>
      <b val="1"/>
      <color rgb="FFFFFFFF"/>
      <scheme val="minor"/>
    </font>
    <font>
      <name val="Calibri"/>
      <b val="1"/>
      <color rgb="FF6B2222"/>
      <scheme val="minor"/>
    </font>
    <font>
      <name val="Calibri"/>
      <color theme="1"/>
      <scheme val="minor"/>
    </font>
    <font>
      <name val="Arial"/>
      <b val="1"/>
      <color rgb="FF0D1B2A"/>
      <sz val="12"/>
    </font>
    <font>
      <name val="Arial"/>
      <i val="1"/>
      <color rgb="FF555555"/>
      <sz val="10"/>
    </font>
    <font>
      <name val="Arial"/>
      <color rgb="FF0563C1"/>
      <sz val="11"/>
      <u val="single"/>
    </font>
  </fonts>
  <fills count="12">
    <fill>
      <patternFill/>
    </fill>
    <fill>
      <patternFill patternType="lightGray"/>
    </fill>
    <fill>
      <patternFill patternType="solid">
        <fgColor rgb="FF0D1B2A"/>
        <bgColor rgb="FF0D1B2A"/>
      </patternFill>
    </fill>
    <fill>
      <patternFill patternType="solid">
        <fgColor rgb="FFD8E8DA"/>
        <bgColor rgb="FFD8E8DA"/>
      </patternFill>
    </fill>
    <fill>
      <patternFill patternType="solid">
        <fgColor rgb="FFF5D5D5"/>
        <bgColor rgb="FFF5D5D5"/>
      </patternFill>
    </fill>
    <fill>
      <patternFill patternType="solid">
        <fgColor rgb="FFF4E4BC"/>
        <bgColor rgb="FFF4E4BC"/>
      </patternFill>
    </fill>
    <fill>
      <patternFill patternType="solid">
        <fgColor rgb="FFC89B3C"/>
        <bgColor rgb="FFC89B3C"/>
      </patternFill>
    </fill>
    <fill>
      <patternFill patternType="solid">
        <fgColor rgb="FFC44A4A"/>
        <bgColor rgb="FFC44A4A"/>
      </patternFill>
    </fill>
    <fill>
      <patternFill patternType="solid">
        <fgColor rgb="FFF4ECDC"/>
        <bgColor rgb="FFF4ECDC"/>
      </patternFill>
    </fill>
    <fill>
      <patternFill patternType="solid">
        <fgColor rgb="FF12100E"/>
        <bgColor rgb="FF12100E"/>
      </patternFill>
    </fill>
    <fill>
      <patternFill patternType="solid">
        <fgColor rgb="FFFBEAEA"/>
        <bgColor rgb="FFFBEAEA"/>
      </patternFill>
    </fill>
    <fill>
      <patternFill patternType="solid">
        <fgColor rgb="FFFFE9B8"/>
        <bgColor rgb="FFFFE9B8"/>
      </patternFill>
    </fill>
  </fills>
  <borders count="1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/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left style="thin">
        <color rgb="FFCCCCCC"/>
      </left>
    </border>
    <border>
      <left style="thin">
        <color rgb="FFCCCCCC"/>
      </left>
      <right style="thin">
        <color rgb="FFCCCCCC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7" fillId="6" borderId="1" pivotButton="0" quotePrefix="0" xfId="0"/>
    <xf numFmtId="0" fontId="8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top" wrapText="1"/>
    </xf>
    <xf numFmtId="0" fontId="10" fillId="0" borderId="3" pivotButton="0" quotePrefix="0" xfId="0"/>
    <xf numFmtId="0" fontId="11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4" fontId="6" fillId="0" borderId="0" applyAlignment="1" pivotButton="0" quotePrefix="0" xfId="0">
      <alignment horizontal="left" vertical="top" wrapText="1"/>
    </xf>
    <xf numFmtId="0" fontId="13" fillId="0" borderId="0" pivotButton="0" quotePrefix="0" xfId="0"/>
    <xf numFmtId="0" fontId="14" fillId="7" borderId="0" applyAlignment="1" pivotButton="0" quotePrefix="0" xfId="0">
      <alignment horizontal="left" vertical="center" wrapText="1"/>
    </xf>
    <xf numFmtId="0" fontId="15" fillId="8" borderId="0" applyAlignment="1" pivotButton="0" quotePrefix="0" xfId="0">
      <alignment vertical="bottom"/>
    </xf>
    <xf numFmtId="0" fontId="16" fillId="9" borderId="0" applyAlignment="1" pivotButton="0" quotePrefix="0" xfId="0">
      <alignment vertical="bottom"/>
    </xf>
    <xf numFmtId="0" fontId="16" fillId="9" borderId="0" pivotButton="0" quotePrefix="0" xfId="0"/>
    <xf numFmtId="0" fontId="17" fillId="10" borderId="0" pivotButton="0" quotePrefix="0" xfId="0"/>
    <xf numFmtId="0" fontId="18" fillId="0" borderId="0" pivotButton="0" quotePrefix="0" xfId="0"/>
    <xf numFmtId="0" fontId="17" fillId="10" borderId="1" applyAlignment="1" pivotButton="0" quotePrefix="0" xfId="0">
      <alignment horizontal="left" vertical="top" wrapText="1"/>
    </xf>
    <xf numFmtId="0" fontId="2" fillId="0" borderId="4" pivotButton="0" quotePrefix="0" xfId="0"/>
    <xf numFmtId="0" fontId="2" fillId="0" borderId="5" pivotButton="0" quotePrefix="0" xfId="0"/>
    <xf numFmtId="0" fontId="19" fillId="11" borderId="6" pivotButton="0" quotePrefix="0" xfId="0"/>
    <xf numFmtId="0" fontId="20" fillId="0" borderId="0" pivotButton="0" quotePrefix="0" xfId="0"/>
    <xf numFmtId="0" fontId="4" fillId="2" borderId="1" pivotButton="0" quotePrefix="0" xfId="0"/>
    <xf numFmtId="0" fontId="21" fillId="3" borderId="1" applyAlignment="1" pivotButton="0" quotePrefix="0" xfId="0">
      <alignment horizontal="left" vertical="top" wrapText="1"/>
    </xf>
    <xf numFmtId="9" fontId="7" fillId="6" borderId="1" pivotButton="0" quotePrefix="0" xfId="0"/>
    <xf numFmtId="0" fontId="19" fillId="5" borderId="6" pivotButton="0" quotePrefix="0" xfId="0"/>
    <xf numFmtId="0" fontId="6" fillId="0" borderId="7" applyAlignment="1" pivotButton="0" quotePrefix="0" xfId="0">
      <alignment horizontal="left" vertical="top" wrapText="1"/>
    </xf>
    <xf numFmtId="0" fontId="10" fillId="0" borderId="4" pivotButton="0" quotePrefix="0" xfId="0"/>
    <xf numFmtId="0" fontId="10" fillId="0" borderId="5" pivotButton="0" quotePrefix="0" xfId="0"/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at/burg-altpernstein.en-gb.html" TargetMode="External" Id="rId2"/><Relationship Type="http://schemas.openxmlformats.org/officeDocument/2006/relationships/hyperlink" Target="https://www.booking.com/hotel/cz/gold-art-apartment.en-gb.html" TargetMode="External" Id="rId3"/><Relationship Type="http://schemas.openxmlformats.org/officeDocument/2006/relationships/hyperlink" Target="https://www.booking.com/hotel/cz/gold-art-apartment.en-gb.html" TargetMode="External" Id="rId4"/><Relationship Type="http://schemas.openxmlformats.org/officeDocument/2006/relationships/hyperlink" Target="https://www.booking.com/hotel/at/thelevantelaudon.en-gb.html" TargetMode="External" Id="rId5"/><Relationship Type="http://schemas.openxmlformats.org/officeDocument/2006/relationships/hyperlink" Target="https://www.booking.com/hotel/hu/city-appartementhaus.html" TargetMode="External" Id="rId6"/><Relationship Type="http://schemas.openxmlformats.org/officeDocument/2006/relationships/hyperlink" Target="https://www.booking.com/Share-O3WihJ" TargetMode="External" Id="rId7"/><Relationship Type="http://schemas.openxmlformats.org/officeDocument/2006/relationships/hyperlink" Target="https://www.booking.com/Share-O3WihJ" TargetMode="External" Id="rId8"/><Relationship Type="http://schemas.openxmlformats.org/officeDocument/2006/relationships/hyperlink" Target="https://www.booking.com/Share-eI77Nu" TargetMode="External" Id="rId9"/><Relationship Type="http://schemas.openxmlformats.org/officeDocument/2006/relationships/hyperlink" Target="https://www.booking.com/hotel/it/dabriebra.en-gb.html" TargetMode="External" Id="rId10"/><Relationship Type="http://schemas.openxmlformats.org/officeDocument/2006/relationships/hyperlink" Target="https://www.booking.com/hotel/it/dabriebra.en-gb.html" TargetMode="External" Id="rId11"/><Relationship Type="http://schemas.openxmlformats.org/officeDocument/2006/relationships/hyperlink" Target="https://www.booking.com/hotel/it/dabriebra.en-gb.html" TargetMode="External" Id="rId12"/><Relationship Type="http://schemas.openxmlformats.org/officeDocument/2006/relationships/hyperlink" Target="https://www.booking.com/hotel/fr/chic-paris-15-haven-1-bedroom-apartment-free-netflix.en-gb.html?label=gen173nr-10CAEoggI46AdIM1gEaK4BiAEBmAEzuAEXyAEM2AED6AEB-AEBiAIBqAIBuAKh8tnQBsACAdICJDYyYWM5YTc0LTUxMzAtNDljNS04N2VhLWZkMGIxMTI1YWZjNNgCAeACAQ&amp;sid=634446106ee57756abf6671b2605010a&amp;aid=304142" TargetMode="External" Id="rId13"/></Relationships>
</file>

<file path=xl/worksheets/_rels/sheet5.xml.rels><Relationships xmlns="http://schemas.openxmlformats.org/package/2006/relationships"><Relationship Type="http://schemas.openxmlformats.org/officeDocument/2006/relationships/hyperlink" Target="https://drive.google.com/drive/u/0/folders/1CuB4i6hZnuqjQUtDhz3dwmXm0OmPSS3g" TargetMode="External" Id="rId1"/><Relationship Type="http://schemas.openxmlformats.org/officeDocument/2006/relationships/hyperlink" Target="https://drive.google.com/drive/u/0/folders/1ok8hTVTeOR1W4Ze3zHlGVyOAVEZQjL32" TargetMode="External" Id="rId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cz/gold-art-apartment.en-gb.html" TargetMode="External" Id="rId2"/><Relationship Type="http://schemas.openxmlformats.org/officeDocument/2006/relationships/hyperlink" Target="https://www.booking.com/hotel/at/thelevantelaudon.en-gb.html" TargetMode="External" Id="rId3"/><Relationship Type="http://schemas.openxmlformats.org/officeDocument/2006/relationships/hyperlink" Target="https://www.booking.com/hotel/hu/city-appartementhaus.html" TargetMode="External" Id="rId4"/><Relationship Type="http://schemas.openxmlformats.org/officeDocument/2006/relationships/hyperlink" Target="https://www.booking.com/Share-O3WihJ" TargetMode="External" Id="rId5"/><Relationship Type="http://schemas.openxmlformats.org/officeDocument/2006/relationships/hyperlink" Target="https://www.booking.com/Share-eI77Nu" TargetMode="External" Id="rId6"/><Relationship Type="http://schemas.openxmlformats.org/officeDocument/2006/relationships/hyperlink" Target="https://www.booking.com/hotel/it/dabriebra.en-gb.html" TargetMode="External" Id="rId7"/></Relationships>
</file>

<file path=xl/worksheets/_rels/sheet9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at/burg-altpernstein.en-gb.html" TargetMode="External" Id="rId2"/><Relationship Type="http://schemas.openxmlformats.org/officeDocument/2006/relationships/hyperlink" Target="https://www.booking.com/hotel/cz/gold-art-apartment.en-gb.html" TargetMode="External" Id="rId3"/><Relationship Type="http://schemas.openxmlformats.org/officeDocument/2006/relationships/hyperlink" Target="https://www.booking.com/hotel/cz/gold-art-apartment.en-gb.html" TargetMode="External" Id="rId4"/><Relationship Type="http://schemas.openxmlformats.org/officeDocument/2006/relationships/hyperlink" Target="https://www.booking.com/hotel/at/thelevantelaudon.en-gb.html" TargetMode="External" Id="rId5"/><Relationship Type="http://schemas.openxmlformats.org/officeDocument/2006/relationships/hyperlink" Target="https://www.booking.com/hotel/hu/city-appartementhaus.html" TargetMode="External" Id="rId6"/><Relationship Type="http://schemas.openxmlformats.org/officeDocument/2006/relationships/hyperlink" Target="https://www.booking.com/Share-O3WihJ" TargetMode="External" Id="rId7"/><Relationship Type="http://schemas.openxmlformats.org/officeDocument/2006/relationships/hyperlink" Target="https://www.booking.com/Share-O3WihJ" TargetMode="External" Id="rId8"/><Relationship Type="http://schemas.openxmlformats.org/officeDocument/2006/relationships/hyperlink" Target="https://www.booking.com/Share-eI77Nu" TargetMode="External" Id="rId9"/><Relationship Type="http://schemas.openxmlformats.org/officeDocument/2006/relationships/hyperlink" Target="https://www.booking.com/hotel/it/dabriebra.en-gb.html" TargetMode="External" Id="rId10"/><Relationship Type="http://schemas.openxmlformats.org/officeDocument/2006/relationships/hyperlink" Target="https://www.booking.com/hotel/it/dabriebra.en-gb.html" TargetMode="External" Id="rId11"/><Relationship Type="http://schemas.openxmlformats.org/officeDocument/2006/relationships/hyperlink" Target="https://www.booking.com/hotel/it/dabriebra.en-gb.html" TargetMode="External" Id="rId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26" customWidth="1" style="38" min="1" max="1"/>
    <col width="60" customWidth="1" style="38" min="2" max="2"/>
    <col width="10" customWidth="1" style="38" min="3" max="3"/>
    <col width="60" customWidth="1" style="38" min="4" max="4"/>
    <col width="8.710000000000001" customWidth="1" style="38" min="5" max="6"/>
  </cols>
  <sheetData>
    <row r="1" ht="24" customHeight="1" s="38">
      <c r="A1" s="1" t="inlineStr">
        <is>
          <t>Avi's Family Trip to Europe — The Grand Journey 2026</t>
        </is>
      </c>
      <c r="E1" s="2" t="n"/>
      <c r="F1" s="2" t="n"/>
    </row>
    <row r="2" ht="18" customHeight="1" s="38">
      <c r="A2" s="3" t="inlineStr">
        <is>
          <t>Auckland → Beijing → Europe → Beijing → Auckland · 25 nights · July–August 2026</t>
        </is>
      </c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KEY FACT</t>
        </is>
      </c>
      <c r="B4" s="4" t="inlineStr">
        <is>
          <t>VALUE</t>
        </is>
      </c>
      <c r="C4" s="2" t="n"/>
      <c r="D4" s="2" t="n"/>
      <c r="E4" s="2" t="n"/>
      <c r="F4" s="2" t="n"/>
    </row>
    <row r="5" ht="15" customHeight="1" s="38">
      <c r="A5" s="5" t="inlineStr">
        <is>
          <t>Total nights</t>
        </is>
      </c>
      <c r="B5" s="6" t="inlineStr">
        <is>
          <t>25</t>
        </is>
      </c>
      <c r="C5" s="2" t="n"/>
      <c r="D5" s="2" t="n"/>
      <c r="E5" s="2" t="n"/>
      <c r="F5" s="2" t="n"/>
    </row>
    <row r="6" ht="15" customHeight="1" s="38">
      <c r="A6" s="5" t="inlineStr">
        <is>
          <t>Departure (AKL)</t>
        </is>
      </c>
      <c r="B6" s="6" t="inlineStr">
        <is>
          <t>Thu 9 Jul 2026 · CA784 19:30</t>
        </is>
      </c>
      <c r="C6" s="2" t="n"/>
      <c r="D6" s="2" t="n"/>
      <c r="E6" s="2" t="n"/>
      <c r="F6" s="2" t="n"/>
    </row>
    <row r="7" ht="15" customHeight="1" s="38">
      <c r="A7" s="5" t="inlineStr">
        <is>
          <t>Arrival in Europe</t>
        </is>
      </c>
      <c r="B7" s="6" t="inlineStr">
        <is>
          <t>Sat 11 Jul · MUC 07:05 → drive direct to Austria (3 hrs)</t>
        </is>
      </c>
      <c r="C7" s="2" t="n"/>
      <c r="D7" s="2" t="n"/>
      <c r="E7" s="2" t="n"/>
      <c r="F7" s="2" t="n"/>
    </row>
    <row r="8" ht="15" customHeight="1" s="38">
      <c r="A8" s="5" t="inlineStr">
        <is>
          <t>Last European sleep</t>
        </is>
      </c>
      <c r="B8" s="6" t="inlineStr">
        <is>
          <t>Tue 4 Aug 2026 · Gothenburg</t>
        </is>
      </c>
      <c r="C8" s="2" t="n"/>
      <c r="D8" s="2" t="n"/>
      <c r="E8" s="2" t="n"/>
      <c r="F8" s="2" t="n"/>
    </row>
    <row r="9" ht="15" customHeight="1" s="38">
      <c r="A9" s="5" t="inlineStr">
        <is>
          <t>GOT → MUC flight</t>
        </is>
      </c>
      <c r="B9" s="6" t="inlineStr">
        <is>
          <t>Wed 5 Aug 06:30 — CRITICAL booking</t>
        </is>
      </c>
      <c r="C9" s="2" t="n"/>
      <c r="D9" s="2" t="n"/>
      <c r="E9" s="2" t="n"/>
      <c r="F9" s="2" t="n"/>
    </row>
    <row r="10" ht="15" customHeight="1" s="38">
      <c r="A10" s="5" t="inlineStr">
        <is>
          <t>Final departure (MUC)</t>
        </is>
      </c>
      <c r="B10" s="6" t="inlineStr">
        <is>
          <t>Thu 6 Aug 2026 · CA962 13:00</t>
        </is>
      </c>
      <c r="C10" s="2" t="n"/>
      <c r="D10" s="2" t="n"/>
      <c r="E10" s="2" t="n"/>
      <c r="F10" s="2" t="n"/>
    </row>
    <row r="11" ht="15" customHeight="1" s="38">
      <c r="A11" s="5" t="inlineStr">
        <is>
          <t>Return to Auckland</t>
        </is>
      </c>
      <c r="B11" s="6" t="inlineStr">
        <is>
          <t>Sat 8 Aug 2026 · CA783 16:30</t>
        </is>
      </c>
      <c r="C11" s="2" t="n"/>
      <c r="D11" s="2" t="n"/>
      <c r="E11" s="2" t="n"/>
      <c r="F11" s="2" t="n"/>
    </row>
    <row r="12" ht="15" customHeight="1" s="38">
      <c r="A12" s="5" t="inlineStr">
        <is>
          <t>Beijing stopover #1</t>
        </is>
      </c>
      <c r="B12" s="6" t="inlineStr">
        <is>
          <t>Forbidden City + Tiananmen (10 Jul, 22 hrs)</t>
        </is>
      </c>
      <c r="C12" s="2" t="n"/>
      <c r="D12" s="2" t="n"/>
      <c r="E12" s="2" t="n"/>
      <c r="F12" s="2" t="n"/>
    </row>
    <row r="13" ht="15" customHeight="1" s="38">
      <c r="A13" s="5" t="inlineStr">
        <is>
          <t>Beijing stopover #2</t>
        </is>
      </c>
      <c r="B13" s="6" t="inlineStr">
        <is>
          <t>Great Wall at Mutianyu (7 Aug, 19 hrs)</t>
        </is>
      </c>
      <c r="C13" s="2" t="n"/>
      <c r="D13" s="2" t="n"/>
      <c r="E13" s="2" t="n"/>
      <c r="F13" s="2" t="n"/>
    </row>
    <row r="14" ht="15" customHeight="1" s="38">
      <c r="A14" s="5" t="inlineStr">
        <is>
          <t>Cities visited</t>
        </is>
      </c>
      <c r="B14" s="6" t="inlineStr">
        <is>
          <t>21 sleep-in cities (Munich now transit only · Hallstatt + Bled + Pisa + Geneva + Bern + Bruges + Brussels + Bayeux + Paris brief = day stops)</t>
        </is>
      </c>
      <c r="C14" s="2" t="n"/>
      <c r="D14" s="2" t="n"/>
      <c r="E14" s="2" t="n"/>
      <c r="F14" s="2" t="n"/>
    </row>
    <row r="15" ht="15" customHeight="1" s="38">
      <c r="A15" s="5" t="inlineStr">
        <is>
          <t>Sister visit</t>
        </is>
      </c>
      <c r="B15" s="6" t="inlineStr">
        <is>
          <t>Gothenburg · 3–4 Aug · 2 nights 💙</t>
        </is>
      </c>
      <c r="C15" s="2" t="n"/>
      <c r="D15" s="2" t="n"/>
      <c r="E15" s="2" t="n"/>
      <c r="F15" s="2" t="n"/>
    </row>
    <row r="16" ht="15" customHeight="1" s="38">
      <c r="A16" s="5" t="inlineStr">
        <is>
          <t>Confirmed additions</t>
        </is>
      </c>
      <c r="B16" s="6" t="inlineStr">
        <is>
          <t>Ottobeuren (Bavaria) ✓, Caen overnight, Belgium day-trip, Amsterdam hub (4N), Copenhagen 1N, Gothenburg 2N</t>
        </is>
      </c>
      <c r="C16" s="2" t="n"/>
      <c r="D16" s="2" t="n"/>
      <c r="E16" s="2" t="n"/>
      <c r="F16" s="2" t="n"/>
    </row>
    <row r="17" ht="15" customHeight="1" s="38">
      <c r="A17" s="5" t="inlineStr">
        <is>
          <t>Driving total</t>
        </is>
      </c>
      <c r="B17" s="6" t="inlineStr">
        <is>
          <t>~3,800 km across 8 countries (Day 19 = train via Paris)</t>
        </is>
      </c>
      <c r="C17" s="2" t="n"/>
      <c r="D17" s="2" t="n"/>
      <c r="E17" s="2" t="n"/>
      <c r="F17" s="2" t="n"/>
    </row>
    <row r="18" ht="15" customHeight="1" s="38">
      <c r="A18" s="5" t="inlineStr">
        <is>
          <t>Transport mix</t>
        </is>
      </c>
      <c r="B18" s="6" t="inlineStr">
        <is>
          <t>Rental car (DE+FR) · cousin's car (NL/BE/FR) · TGV · Eurostar · X2000 · 5 flights</t>
        </is>
      </c>
      <c r="C18" s="2" t="n"/>
      <c r="D18" s="2" t="n"/>
      <c r="E18" s="2" t="n"/>
      <c r="F18" s="2" t="n"/>
    </row>
    <row r="19" ht="15" customHeight="1" s="38">
      <c r="A19" s="5" t="inlineStr">
        <is>
          <t>Visa note</t>
        </is>
      </c>
      <c r="B19" s="6" t="inlineStr">
        <is>
          <t>144-hr China Transit · apply before AKL departure</t>
        </is>
      </c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" customHeight="1" s="38">
      <c r="A22" s="4" t="inlineStr">
        <is>
          <t>PHASE</t>
        </is>
      </c>
      <c r="B22" s="4" t="inlineStr">
        <is>
          <t>DATES</t>
        </is>
      </c>
      <c r="C22" s="4" t="inlineStr">
        <is>
          <t>DAYS</t>
        </is>
      </c>
      <c r="D22" s="4" t="inlineStr">
        <is>
          <t>FOCUS</t>
        </is>
      </c>
      <c r="E22" s="2" t="n"/>
      <c r="F22" s="2" t="n"/>
    </row>
    <row r="23" ht="15" customHeight="1" s="38">
      <c r="A23" s="6" t="inlineStr">
        <is>
          <t>Austria + East</t>
        </is>
      </c>
      <c r="B23" s="6" t="inlineStr">
        <is>
          <t>11–16 Jul</t>
        </is>
      </c>
      <c r="C23" s="6" t="inlineStr">
        <is>
          <t>1–6</t>
        </is>
      </c>
      <c r="D23" s="6" t="inlineStr">
        <is>
          <t>Burg Altpernstein (Upper Austria), Prague, Vienna, Budapest · Hallstatt day trip optional</t>
        </is>
      </c>
      <c r="E23" s="2" t="n"/>
      <c r="F23" s="2" t="n"/>
    </row>
    <row r="24" ht="26.25" customHeight="1" s="38">
      <c r="A24" s="6" t="inlineStr">
        <is>
          <t>Bled + Italy</t>
        </is>
      </c>
      <c r="B24" s="6" t="inlineStr">
        <is>
          <t>17–22 Jul</t>
        </is>
      </c>
      <c r="C24" s="6" t="inlineStr">
        <is>
          <t>7–12</t>
        </is>
      </c>
      <c r="D24" s="6" t="inlineStr">
        <is>
          <t>Bled (day), Venice, Florence, Rome, Pompeii/Naples (day), Vatican</t>
        </is>
      </c>
      <c r="E24" s="2" t="n"/>
      <c r="F24" s="2" t="n"/>
    </row>
    <row r="25" ht="26.25" customHeight="1" s="38">
      <c r="A25" s="6" t="inlineStr">
        <is>
          <t>Swiss Alps + Bavaria</t>
        </is>
      </c>
      <c r="B25" s="6" t="inlineStr">
        <is>
          <t>23–27 Jul</t>
        </is>
      </c>
      <c r="C25" s="6" t="inlineStr">
        <is>
          <t>13–17</t>
        </is>
      </c>
      <c r="D25" s="6" t="inlineStr">
        <is>
          <t>Milan + Rasika friend stay, Stalden + Gornergrat, Moléson + Geneva day, Bern stop, Ottobeuren (Bavaria)</t>
        </is>
      </c>
      <c r="E25" s="2" t="n"/>
      <c r="F25" s="2" t="n"/>
    </row>
    <row r="26" ht="15" customHeight="1" s="38">
      <c r="A26" s="6" t="inlineStr">
        <is>
          <t>Lourdes pilgrimage</t>
        </is>
      </c>
      <c r="B26" s="6" t="inlineStr">
        <is>
          <t>28 Jul</t>
        </is>
      </c>
      <c r="C26" s="6" t="inlineStr">
        <is>
          <t>18</t>
        </is>
      </c>
      <c r="D26" s="6" t="inlineStr">
        <is>
          <t>Drop MUC car · KLM via AMS → Toulouse → drive Lourdes · Torch Procession 21:00</t>
        </is>
      </c>
      <c r="E26" s="2" t="n"/>
      <c r="F26" s="2" t="n"/>
    </row>
    <row r="27" ht="15" customHeight="1" s="38">
      <c r="A27" s="6" t="inlineStr">
        <is>
          <t>Amsterdam hub</t>
        </is>
      </c>
      <c r="B27" s="6" t="inlineStr">
        <is>
          <t>29 Jul – 2 Aug</t>
        </is>
      </c>
      <c r="C27" s="6" t="inlineStr">
        <is>
          <t>19–23</t>
        </is>
      </c>
      <c r="D27" s="6" t="inlineStr">
        <is>
          <t>Train via Toulouse-Paris-AMS · Paris brief + Caen overnight + Bayeux + Bruges en route Fri · AMS Sat rest + Vigil · Sun fly to CPH</t>
        </is>
      </c>
      <c r="E27" s="2" t="n"/>
      <c r="F27" s="2" t="n"/>
    </row>
    <row r="28" ht="15" customHeight="1" s="38">
      <c r="A28" s="6" t="inlineStr">
        <is>
          <t>Copenhagen</t>
        </is>
      </c>
      <c r="B28" s="6" t="inlineStr">
        <is>
          <t>2 Aug</t>
        </is>
      </c>
      <c r="C28" s="6" t="inlineStr">
        <is>
          <t>23</t>
        </is>
      </c>
      <c r="D28" s="6" t="inlineStr">
        <is>
          <t>Fly KLM AMS→CPH · Nyhavn · Tivoli</t>
        </is>
      </c>
      <c r="E28" s="2" t="n"/>
      <c r="F28" s="2" t="n"/>
    </row>
    <row r="29" ht="15" customHeight="1" s="38">
      <c r="A29" s="6" t="inlineStr">
        <is>
          <t>Gothenburg 💙</t>
        </is>
      </c>
      <c r="B29" s="6" t="inlineStr">
        <is>
          <t>3–4 Aug</t>
        </is>
      </c>
      <c r="C29" s="6" t="inlineStr">
        <is>
          <t>24–25</t>
        </is>
      </c>
      <c r="D29" s="6" t="inlineStr">
        <is>
          <t>X2000 train via Öresund Bridge · sister visit · Liseberg · Haga · Archipelago</t>
        </is>
      </c>
      <c r="E29" s="2" t="n"/>
      <c r="F29" s="2" t="n"/>
    </row>
    <row r="30" ht="15" customHeight="1" s="38">
      <c r="A30" s="6" t="inlineStr">
        <is>
          <t>Return</t>
        </is>
      </c>
      <c r="B30" s="6" t="inlineStr">
        <is>
          <t>5–8 Aug</t>
        </is>
      </c>
      <c r="C30" s="6" t="inlineStr">
        <is>
          <t>—</t>
        </is>
      </c>
      <c r="D30" s="6" t="inlineStr">
        <is>
          <t>GOT→MUC day · CA962 → Beijing (Great Wall) → AKL</t>
        </is>
      </c>
      <c r="E30" s="2" t="n"/>
      <c r="F30" s="2" t="n"/>
    </row>
    <row r="31" ht="15" customHeight="1" s="38">
      <c r="A31" s="6" t="inlineStr">
        <is>
          <t>Return</t>
        </is>
      </c>
      <c r="B31" s="6" t="inlineStr">
        <is>
          <t>5–8 Aug</t>
        </is>
      </c>
      <c r="C31" s="6" t="inlineStr">
        <is>
          <t>—</t>
        </is>
      </c>
      <c r="D31" s="6" t="inlineStr">
        <is>
          <t>GOT→MUC day · CA962 → Beijing (Great Wall) → AKL</t>
        </is>
      </c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8" min="1" max="1"/>
    <col width="14" customWidth="1" style="38" min="2" max="2"/>
    <col width="22" customWidth="1" style="38" min="3" max="3"/>
    <col width="70" customWidth="1" style="38" min="4" max="4"/>
    <col width="8.710000000000001" customWidth="1" style="38" min="5" max="21"/>
  </cols>
  <sheetData>
    <row r="1" ht="24" customHeight="1" s="38">
      <c r="A1" s="1" t="inlineStr">
        <is>
          <t>Calendar — every night verified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8" customHeight="1" s="38">
      <c r="A2" s="3" t="inlineStr">
        <is>
          <t>25 nights · Sat 11 Jul → Tue 4 Aug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 ht="15" customHeight="1" s="38">
      <c r="A4" s="4" t="inlineStr">
        <is>
          <t>Night</t>
        </is>
      </c>
      <c r="B4" s="4" t="inlineStr">
        <is>
          <t>Date</t>
        </is>
      </c>
      <c r="C4" s="4" t="inlineStr">
        <is>
          <t>Sleep In</t>
        </is>
      </c>
      <c r="D4" s="4" t="inlineStr">
        <is>
          <t>Key Activity / Travel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 ht="15" customHeight="1" s="38">
      <c r="A5" s="6" t="n">
        <v>1</v>
      </c>
      <c r="B5" s="6" t="inlineStr">
        <is>
          <t>Sat 11 Jul</t>
        </is>
      </c>
      <c r="C5" s="6" t="inlineStr">
        <is>
          <t>Burg Altpernstein 🇦🇹</t>
        </is>
      </c>
      <c r="D5" s="6" t="inlineStr">
        <is>
          <t>Land MUC 07:05 · collect car · drive ~3hrs direct to Austrian castle hotel · ⛪ Sat Vigil 19:00 at Stiftskirche Spital am Pyhrn (covers Sun)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 ht="15" customHeight="1" s="38">
      <c r="A6" s="6" t="n">
        <v>2</v>
      </c>
      <c r="B6" s="6" t="inlineStr">
        <is>
          <t>Sun 12 Jul</t>
        </is>
      </c>
      <c r="C6" s="6" t="inlineStr">
        <is>
          <t>Burg Altpernstein 🇦🇹</t>
        </is>
      </c>
      <c r="D6" s="6" t="inlineStr">
        <is>
          <t>NO Mass needed (Sat Vigil covered Sun obligation). Day-trip options: Hallstatt half-day OR Salzburg + Hallstatt loop (Residenzplatz, Felsenreitschule "Sound of Music", Mozart Birthplace, Hohensalzburg Fortress) OR full Salzkammergut loop. ⛪ BACKUP if Sat missed: Sun 09:00 Spital am Pyhrn OR 10:00 Hallstatt Pfarrkirche.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 ht="15" customHeight="1" s="38">
      <c r="A7" s="6" t="n">
        <v>3</v>
      </c>
      <c r="B7" s="6" t="inlineStr">
        <is>
          <t>Mon 13 Jul</t>
        </is>
      </c>
      <c r="C7" s="6" t="inlineStr">
        <is>
          <t>Prague</t>
        </is>
      </c>
      <c r="D7" s="6" t="inlineStr">
        <is>
          <t>Long drive Hallstatt→Prague · Start 08:00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 ht="15" customHeight="1" s="38">
      <c r="A8" s="6" t="n">
        <v>4</v>
      </c>
      <c r="B8" s="6" t="inlineStr">
        <is>
          <t>Tue 14 Jul</t>
        </is>
      </c>
      <c r="C8" s="6" t="inlineStr">
        <is>
          <t>Prague</t>
        </is>
      </c>
      <c r="D8" s="6" t="inlineStr">
        <is>
          <t>Prague full day · Castle · Jewish Quarter · river cruise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 ht="15" customHeight="1" s="38">
      <c r="A9" s="6" t="n">
        <v>5</v>
      </c>
      <c r="B9" s="6" t="inlineStr">
        <is>
          <t>Wed 15 Jul</t>
        </is>
      </c>
      <c r="C9" s="6" t="inlineStr">
        <is>
          <t>Vienna</t>
        </is>
      </c>
      <c r="D9" s="6" t="inlineStr">
        <is>
          <t>Prague→Vienna · Schönbrunn · Naschmarkt · Sachertorte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 ht="15" customHeight="1" s="38">
      <c r="A10" s="6" t="n">
        <v>6</v>
      </c>
      <c r="B10" s="6" t="inlineStr">
        <is>
          <t>Thu 16 Jul</t>
        </is>
      </c>
      <c r="C10" s="6" t="inlineStr">
        <is>
          <t>Budapest</t>
        </is>
      </c>
      <c r="D10" s="6" t="inlineStr">
        <is>
          <t>Vienna→Budapest · Széchenyi Thermal Baths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 ht="15" customHeight="1" s="38">
      <c r="A11" s="6" t="n">
        <v>7</v>
      </c>
      <c r="B11" s="6" t="inlineStr">
        <is>
          <t>Fri 17 Jul</t>
        </is>
      </c>
      <c r="C11" s="6" t="inlineStr">
        <is>
          <t>Venice</t>
        </is>
      </c>
      <c r="D11" s="6" t="inlineStr">
        <is>
          <t>Budapest→Bled 2.5hr stop→Venice · Start 07:30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</row>
    <row r="12" ht="15" customHeight="1" s="38">
      <c r="A12" s="6" t="n">
        <v>8</v>
      </c>
      <c r="B12" s="6" t="inlineStr">
        <is>
          <t>Sat 18 Jul</t>
        </is>
      </c>
      <c r="C12" s="6" t="inlineStr">
        <is>
          <t>Venice</t>
        </is>
      </c>
      <c r="D12" s="6" t="inlineStr">
        <is>
          <t>Venice full day · gondola · Burano island · ⛪ Sat 18 Jul Vigil 17:00 at Basilica San Marco (covers Sun — Florence Sun = sightseeing only)</t>
        </is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inlineStr">
        <is>
          <t xml:space="preserve"> එ,,අං,,එ,/, </t>
        </is>
      </c>
    </row>
    <row r="13" ht="15" customHeight="1" s="38">
      <c r="A13" s="6" t="n">
        <v>9</v>
      </c>
      <c r="B13" s="6" t="inlineStr">
        <is>
          <t>Sun 19 Jul</t>
        </is>
      </c>
      <c r="C13" s="6" t="inlineStr">
        <is>
          <t>Florence</t>
        </is>
      </c>
      <c r="D13" s="6" t="inlineStr">
        <is>
          <t>Mestre → optional Padua sightseeing → Florence · NO Mass today (Sat Vigil at San Marco covered it) · Ponte Vecchio · ⛪ BACKUP: Padua 10:00 sung Mass OR Florence Santissima Annunziata 18:30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</row>
    <row r="14" ht="15" customHeight="1" s="38">
      <c r="A14" s="6" t="n">
        <v>10</v>
      </c>
      <c r="B14" s="6" t="inlineStr">
        <is>
          <t>Mon 20 Jul</t>
        </is>
      </c>
      <c r="C14" s="6" t="inlineStr">
        <is>
          <t>Rome</t>
        </is>
      </c>
      <c r="D14" s="6" t="inlineStr">
        <is>
          <t>Florence→Pisa stop→Rome · Colosseum · Trastevere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</row>
    <row r="15" ht="15" customHeight="1" s="38">
      <c r="A15" s="6" t="n">
        <v>11</v>
      </c>
      <c r="B15" s="6" t="inlineStr">
        <is>
          <t>Tue 21 Jul</t>
        </is>
      </c>
      <c r="C15" s="6" t="inlineStr">
        <is>
          <t>Rome</t>
        </is>
      </c>
      <c r="D15" s="6" t="inlineStr">
        <is>
          <t>Pompeii + Naples day trip from Rome base · Start 08:00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</row>
    <row r="16" ht="15" customHeight="1" s="38">
      <c r="A16" s="6" t="n">
        <v>12</v>
      </c>
      <c r="B16" s="6" t="inlineStr">
        <is>
          <t>Wed 22 Jul</t>
        </is>
      </c>
      <c r="C16" s="6" t="inlineStr">
        <is>
          <t>Rome</t>
        </is>
      </c>
      <c r="D16" s="6" t="inlineStr">
        <is>
          <t>Vatican full day · pre-book essential · depart 07:00</t>
        </is>
      </c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</row>
    <row r="17" ht="15" customHeight="1" s="38">
      <c r="A17" s="6" t="n">
        <v>13</v>
      </c>
      <c r="B17" s="6" t="inlineStr">
        <is>
          <t>Thu 23 Jul</t>
        </is>
      </c>
      <c r="C17" s="6" t="inlineStr">
        <is>
          <t>Milan</t>
        </is>
      </c>
      <c r="D17" s="6" t="inlineStr">
        <is>
          <t>Rome→Florence stop→Milan · Start 07:30</t>
        </is>
      </c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</row>
    <row r="18" ht="15" customHeight="1" s="38">
      <c r="A18" s="6" t="n">
        <v>14</v>
      </c>
      <c r="B18" s="6" t="inlineStr">
        <is>
          <t>Fri 24 Jul</t>
        </is>
      </c>
      <c r="C18" s="6" t="inlineStr">
        <is>
          <t>Stalden 🇨🇭</t>
        </is>
      </c>
      <c r="D18" s="6" t="inlineStr">
        <is>
          <t>Milan half-day (Duomo, Galleria, Brera) → drive Stalden via Simplon</t>
        </is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</row>
    <row r="19" ht="15" customHeight="1" s="38">
      <c r="A19" s="6" t="n">
        <v>15</v>
      </c>
      <c r="B19" s="6" t="inlineStr">
        <is>
          <t>Sat 25 Jul</t>
        </is>
      </c>
      <c r="C19" s="6" t="inlineStr">
        <is>
          <t>Moléson-sur-Gruyères 🇨🇭</t>
        </is>
      </c>
      <c r="D19" s="6" t="inlineStr">
        <is>
          <t>Gornergrat AM (train Stalden→Zermatt) · drive PM to Moléson · ⛪ Sat 25 Jul Vigil at Église de Gruyères (5km) or Bulle (8km) — covers Sun</t>
        </is>
      </c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</row>
    <row r="20" ht="15" customHeight="1" s="38">
      <c r="A20" s="6" t="n">
        <v>16</v>
      </c>
      <c r="B20" s="6" t="inlineStr">
        <is>
          <t>Sun 26 Jul</t>
        </is>
      </c>
      <c r="C20" s="6" t="inlineStr">
        <is>
          <t>Moléson-sur-Gruyères 🇨🇭</t>
        </is>
      </c>
      <c r="D20" s="6" t="inlineStr">
        <is>
          <t>Geneva day-trip from Moléson · sightseeing only · ⛪ BACKUP if Sat missed: 10:15 Sun Mass at Notre-Dame Geneva (need leave Moléson 08:30)</t>
        </is>
      </c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</row>
    <row r="21" ht="15" customHeight="1" s="38">
      <c r="A21" s="6" t="n">
        <v>17</v>
      </c>
      <c r="B21" s="6" t="inlineStr">
        <is>
          <t>Mon 27 Jul</t>
        </is>
      </c>
      <c r="C21" s="6" t="inlineStr">
        <is>
          <t>Ottobeuren (Bavaria) 🇩🇪</t>
        </is>
      </c>
      <c r="D21" s="6" t="inlineStr">
        <is>
          <t>Moléson → Bern stop (Zytglogge, BärenPark) → cross border → Ottobeuren · Hotel Hirsch · Bavarian dinner</t>
        </is>
      </c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</row>
    <row r="22" ht="15" customHeight="1" s="38">
      <c r="A22" s="6" t="n">
        <v>18</v>
      </c>
      <c r="B22" s="6" t="inlineStr">
        <is>
          <t>Tue 28 Jul</t>
        </is>
      </c>
      <c r="C22" s="6" t="inlineStr">
        <is>
          <t>Lourdes 🇫🇷</t>
        </is>
      </c>
      <c r="D22" s="6" t="inlineStr">
        <is>
          <t>Ottobeuren → MUC drop car · KLM 11:50→AMS→16:15 TLS · TLS rental · drive Lourdes 19:00 · 21:00 🕯️ Torch Procession</t>
        </is>
      </c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</row>
    <row r="23" ht="15" customHeight="1" s="38">
      <c r="A23" s="6" t="n">
        <v>19</v>
      </c>
      <c r="B23" s="6" t="inlineStr">
        <is>
          <t>Wed 29 Jul</t>
        </is>
      </c>
      <c r="C23" s="6" t="inlineStr">
        <is>
          <t>Paris 🇫🇷 (overnight)</t>
        </is>
      </c>
      <c r="D23" s="6" t="inlineStr">
        <is>
          <t>06:15 wake / 07:30 leave · Drive Lourdes→TLS (drop Avis ~09:00) · Tram T2 → Matabiau (~09:15) · 10:20 TGV 8508 → Paris Montparnasse 14:55 · Hotel Chic Paris 15 Haven (Métro Convention · check-in 15:00-22:00) · Eiffel Tower + Champ de Mars (~17:00) · Notre-Dame exterior + Seine walk · dinner Paris · sleep Paris</t>
        </is>
      </c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</row>
    <row r="24" ht="26.25" customHeight="1" s="38">
      <c r="A24" s="7" t="n">
        <v>20</v>
      </c>
      <c r="B24" s="7" t="inlineStr">
        <is>
          <t>Thu 30 Jul</t>
        </is>
      </c>
      <c r="C24" s="7" t="inlineStr">
        <is>
          <t>Amsterdam 💚 (cousin)</t>
        </is>
      </c>
      <c r="D24" s="7" t="inlineStr">
        <is>
          <t>Slow Paris morning · Sacré-Cœur + Montmartre · Louvre + Tuileries · Champs-Élysées + Arc de Triomphe · 19:30 to Gare du Nord · Eurostar 9387 20:22 → Schiphol 23:33 (Coach 13 · Seats 72-76) · cousin pickup</t>
        </is>
      </c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</row>
    <row r="25" ht="15" customHeight="1" s="38">
      <c r="A25" s="6" t="n">
        <v>21</v>
      </c>
      <c r="B25" s="6" t="inlineStr">
        <is>
          <t>Fri 31 Jul</t>
        </is>
      </c>
      <c r="C25" s="6" t="inlineStr">
        <is>
          <t>Amsterdam 💚 (cousin)</t>
        </is>
      </c>
      <c r="D25" s="6" t="inlineStr">
        <is>
          <t>Amsterdam Day 1 — Anne Frank House (pre-book!) · Rijksmuseum · Jordaan lunch · Albert Cuyp Market · canal boat option · Vondelpark · canal dinner</t>
        </is>
      </c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</row>
    <row r="26" ht="15" customHeight="1" s="38">
      <c r="A26" s="6" t="n">
        <v>22</v>
      </c>
      <c r="B26" s="6" t="inlineStr">
        <is>
          <t>Sat 1 Aug</t>
        </is>
      </c>
      <c r="C26" s="6" t="inlineStr">
        <is>
          <t>Amsterdam 💚 (cousin)</t>
        </is>
      </c>
      <c r="D26" s="6" t="inlineStr">
        <is>
          <t>AMS rest day with cousin (canals, Anne Frank, Vondelpark, Jordaan dinner) · ⛪ Sat 17:00 Vigil at Sint-Nicolaaskerk Amsterdam (covers Sun)</t>
        </is>
      </c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</row>
    <row r="27" ht="15" customHeight="1" s="38">
      <c r="A27" s="7" t="n">
        <v>23</v>
      </c>
      <c r="B27" s="7" t="inlineStr">
        <is>
          <t>Sun 2 Aug</t>
        </is>
      </c>
      <c r="C27" s="7" t="inlineStr">
        <is>
          <t>Copenhagen ✓</t>
        </is>
      </c>
      <c r="D27" s="7" t="inlineStr">
        <is>
          <t>Easy AMS Sun morning · NO Mass · brunch with cousin · return car · fly KLM AMS→CPH evening · ⛪ BACKUP: 10:30 Sun Mass at Sint-Nicolaaskerk AMS</t>
        </is>
      </c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</row>
    <row r="28" ht="15" customHeight="1" s="38">
      <c r="A28" s="8" t="n">
        <v>24</v>
      </c>
      <c r="B28" s="8" t="inlineStr">
        <is>
          <t>Mon 3 Aug</t>
        </is>
      </c>
      <c r="C28" s="8" t="inlineStr">
        <is>
          <t>Gothenburg 💙 N1</t>
        </is>
      </c>
      <c r="D28" s="8" t="inlineStr">
        <is>
          <t>CPH morning (Nyhavn, Tivoli) · X2000 train CPH→Gothenburg via Øresund Bridge ~13:00 · sister evening</t>
        </is>
      </c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 ht="15" customHeight="1" s="38">
      <c r="A29" s="8" t="n">
        <v>25</v>
      </c>
      <c r="B29" s="8" t="inlineStr">
        <is>
          <t>Tue 4 Aug</t>
        </is>
      </c>
      <c r="C29" s="8" t="inlineStr">
        <is>
          <t>Gothenburg 💙 N2</t>
        </is>
      </c>
      <c r="D29" s="8" t="inlineStr">
        <is>
          <t>Full sister day · Liseberg amusement park · Haga cinnamon buns · archipelago boat</t>
        </is>
      </c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</row>
    <row r="30" ht="26.25" customHeight="1" s="38">
      <c r="A30" s="9" t="inlineStr">
        <is>
          <t>—</t>
        </is>
      </c>
      <c r="B30" s="9" t="inlineStr">
        <is>
          <t>Wed 5 Aug</t>
        </is>
      </c>
      <c r="C30" s="9" t="inlineStr">
        <is>
          <t>Munich day room</t>
        </is>
      </c>
      <c r="D30" s="9" t="inlineStr">
        <is>
          <t>Fly GOT→MUC 06:30 · land 08:30 · Novotel day room · explore Munich · airport by 21:00</t>
        </is>
      </c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 ht="15" customHeight="1" s="38">
      <c r="A31" s="9" t="inlineStr">
        <is>
          <t>—</t>
        </is>
      </c>
      <c r="B31" s="9" t="inlineStr">
        <is>
          <t>Thu 6 Aug</t>
        </is>
      </c>
      <c r="C31" s="9" t="inlineStr">
        <is>
          <t>Depart CA962 13:00</t>
        </is>
      </c>
      <c r="D31" s="9" t="inlineStr">
        <is>
          <t>Check-in MUC T2 by 10:30 · board 11:00 · depart 13:00 → Beijing</t>
        </is>
      </c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</row>
    <row r="32" ht="15" customHeight="1" s="38">
      <c r="A32" s="9" t="inlineStr">
        <is>
          <t>—</t>
        </is>
      </c>
      <c r="B32" s="9" t="inlineStr">
        <is>
          <t>Sat 8 Aug</t>
        </is>
      </c>
      <c r="C32" s="9" t="inlineStr">
        <is>
          <t>Auckland 🏠</t>
        </is>
      </c>
      <c r="D32" s="9" t="inlineStr">
        <is>
          <t>CA783 arrives AKL 16:30 · Great Wall done · home</t>
        </is>
      </c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 ht="15" customHeight="1" s="38">
      <c r="A33" s="10" t="inlineStr">
        <is>
          <t>TOTAL</t>
        </is>
      </c>
      <c r="B33" s="10">
        <f>COUNT(A5:A29)</f>
        <v/>
      </c>
      <c r="C33" s="10" t="inlineStr">
        <is>
          <t>nights confirmed</t>
        </is>
      </c>
      <c r="D33" s="10" t="inlineStr">
        <is>
          <t>Arrive Munich 11 Jul · Last sleep Gothenburg 4 Aug · Depart MUC 6 Aug 13:00</t>
        </is>
      </c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</row>
    <row r="34" ht="15.75" customHeight="1" s="3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 ht="15.75" customHeight="1" s="38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</row>
    <row r="36" ht="15.75" customHeight="1" s="38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 ht="15.75" customHeight="1" s="38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</row>
    <row r="38" ht="15.75" customHeight="1" s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 ht="15.75" customHeight="1" s="38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</row>
    <row r="40" ht="15.75" customHeight="1" s="38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 ht="15.75" customHeight="1" s="38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</row>
    <row r="42" ht="15.75" customHeight="1" s="38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 ht="15.75" customHeight="1" s="38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</row>
    <row r="44" ht="15.75" customHeight="1" s="38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 ht="15.75" customHeight="1" s="38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</row>
    <row r="46" ht="15.75" customHeight="1" s="38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 ht="15.75" customHeight="1" s="38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</row>
    <row r="48" ht="15.75" customHeight="1" s="3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 ht="15.75" customHeight="1" s="38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</row>
    <row r="50" ht="15.75" customHeight="1" s="38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 ht="15.75" customHeight="1" s="38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</row>
    <row r="52" ht="15.75" customHeight="1" s="38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 ht="15.75" customHeight="1" s="38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</row>
    <row r="54" ht="15.75" customHeight="1" s="38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 ht="15.75" customHeight="1" s="38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</row>
    <row r="56" ht="15.75" customHeight="1" s="38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 ht="15.75" customHeight="1" s="38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</row>
    <row r="58" ht="15.75" customHeight="1" s="3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 ht="15.75" customHeight="1" s="38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</row>
    <row r="60" ht="15.75" customHeight="1" s="38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 ht="15.75" customHeight="1" s="38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</row>
    <row r="62" ht="15.75" customHeight="1" s="38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 ht="15.75" customHeight="1" s="38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</row>
    <row r="64" ht="15.75" customHeight="1" s="38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 ht="15.75" customHeight="1" s="38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</row>
    <row r="66" ht="15.75" customHeight="1" s="38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 ht="15.75" customHeight="1" s="38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</row>
    <row r="68" ht="15.75" customHeight="1" s="3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 ht="15.75" customHeight="1" s="38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</row>
    <row r="70" ht="15.75" customHeight="1" s="38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 ht="15.75" customHeight="1" s="38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</row>
    <row r="72" ht="15.75" customHeight="1" s="38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 ht="15.75" customHeight="1" s="38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 ht="15.75" customHeight="1" s="38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 ht="15.75" customHeight="1" s="38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 ht="15.75" customHeight="1" s="38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 ht="15.75" customHeight="1" s="38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 ht="15.75" customHeight="1" s="3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 ht="15.75" customHeight="1" s="38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 ht="15.75" customHeight="1" s="38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 ht="15.75" customHeight="1" s="38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 ht="15.75" customHeight="1" s="38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 ht="15.75" customHeight="1" s="38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 ht="15.75" customHeight="1" s="38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 ht="15.75" customHeight="1" s="38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 ht="15.75" customHeight="1" s="38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 ht="15.75" customHeight="1" s="38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 ht="15.75" customHeight="1" s="3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 ht="15.75" customHeight="1" s="38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 ht="15.75" customHeight="1" s="38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 ht="15.75" customHeight="1" s="38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 ht="15.75" customHeight="1" s="38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 ht="15.75" customHeight="1" s="38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 ht="15.75" customHeight="1" s="38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 ht="15.75" customHeight="1" s="38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 ht="15.75" customHeight="1" s="38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 ht="15.75" customHeight="1" s="38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 ht="15.75" customHeight="1" s="3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 ht="15.75" customHeight="1" s="38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6" customWidth="1" style="38" min="1" max="1"/>
    <col width="12" customWidth="1" style="38" min="2" max="2"/>
    <col width="22" customWidth="1" style="38" min="3" max="3"/>
    <col width="24" customWidth="1" style="38" min="4" max="4"/>
    <col width="28" customWidth="1" style="38" min="5" max="5"/>
    <col width="30" customWidth="1" style="38" min="6" max="6"/>
    <col width="22" customWidth="1" style="38" min="7" max="8"/>
    <col width="60" customWidth="1" style="38" min="9" max="9"/>
    <col width="8.710000000000001" customWidth="1" style="38" min="10" max="10"/>
    <col width="11.71" customWidth="1" style="38" min="11" max="11"/>
  </cols>
  <sheetData>
    <row r="1" ht="24" customHeight="1" s="38">
      <c r="A1" s="1" t="inlineStr">
        <is>
          <t>Day-by-Day Itinerary</t>
        </is>
      </c>
      <c r="J1" s="2" t="n"/>
      <c r="K1" s="2" t="n"/>
    </row>
    <row r="2" ht="18" customHeight="1" s="38">
      <c r="A2" s="3" t="inlineStr">
        <is>
          <t>Country &amp; city for every day · driving distances · hotels with booking links</t>
        </is>
      </c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15" customHeight="1" s="38">
      <c r="A4" s="4" t="inlineStr">
        <is>
          <t>Day</t>
        </is>
      </c>
      <c r="B4" s="4" t="inlineStr">
        <is>
          <t>Date</t>
        </is>
      </c>
      <c r="C4" s="4" t="inlineStr">
        <is>
          <t>Country</t>
        </is>
      </c>
      <c r="D4" s="4" t="inlineStr">
        <is>
          <t>City</t>
        </is>
      </c>
      <c r="E4" s="4" t="inlineStr">
        <is>
          <t>Hotel</t>
        </is>
      </c>
      <c r="F4" s="4" t="inlineStr">
        <is>
          <t>From → To</t>
        </is>
      </c>
      <c r="G4" s="4" t="inlineStr">
        <is>
          <t>Distance / Time</t>
        </is>
      </c>
      <c r="H4" s="4" t="inlineStr">
        <is>
          <t>Start Time</t>
        </is>
      </c>
      <c r="I4" s="4" t="inlineStr">
        <is>
          <t>Description</t>
        </is>
      </c>
      <c r="J4" s="4" t="inlineStr">
        <is>
          <t>Cost</t>
        </is>
      </c>
      <c r="K4" s="2" t="n"/>
    </row>
    <row r="5" ht="54.75" customHeight="1" s="38">
      <c r="A5" s="6" t="n">
        <v>0</v>
      </c>
      <c r="B5" s="6" t="inlineStr">
        <is>
          <t>Sat 11 Jul</t>
        </is>
      </c>
      <c r="C5" s="6" t="inlineStr">
        <is>
          <t>Germany 🇩🇪</t>
        </is>
      </c>
      <c r="D5" s="6" t="inlineStr">
        <is>
          <t>Munich</t>
        </is>
      </c>
      <c r="E5" s="11" t="inlineStr">
        <is>
          <t>Budget Car Rental</t>
        </is>
      </c>
      <c r="F5" s="6" t="n"/>
      <c r="G5" s="6" t="n"/>
      <c r="H5" s="6" t="inlineStr">
        <is>
          <t>8.30am</t>
        </is>
      </c>
      <c r="I5" s="6" t="inlineStr">
        <is>
          <t>Land MUC T2 07:05. Collect rental car ~09:00. Drive ~3hrs to Austrian castle hotel. Saturday Vigil 19:00 at Stiftskirche Spital am Pyhrn (~30 min south) — covers Sunday obligation.</t>
        </is>
      </c>
      <c r="J5" s="12" t="n">
        <v>1372.08</v>
      </c>
      <c r="K5" s="12" t="n"/>
    </row>
    <row r="6" ht="54.75" customHeight="1" s="38">
      <c r="A6" s="6" t="n">
        <v>1</v>
      </c>
      <c r="B6" s="6" t="inlineStr">
        <is>
          <t>Sat 11 Jul</t>
        </is>
      </c>
      <c r="C6" s="6" t="inlineStr">
        <is>
          <t>Austria 🇦🇹</t>
        </is>
      </c>
      <c r="D6" s="6" t="inlineStr">
        <is>
          <t>Burg Altpernstein (Upper Austria)</t>
        </is>
      </c>
      <c r="E6" s="13" t="inlineStr">
        <is>
          <t>Burg Altpernstein (Altpernstein 1, 4563 Micheldorf, Austria)</t>
        </is>
      </c>
      <c r="F6" s="6" t="inlineStr">
        <is>
          <t>Munich (land) → Burg Altpernstein</t>
        </is>
      </c>
      <c r="G6" s="6" t="inlineStr">
        <is>
          <t>~290 km · ~3 hrs</t>
        </is>
      </c>
      <c r="H6" s="6" t="inlineStr">
        <is>
          <t>Drive ~10:00 (after car pickup)</t>
        </is>
      </c>
      <c r="I6" s="6" t="inlineStr">
        <is>
          <t>Land MUC T2 07:05. Collect rental car ~09:00. Drive ~3hrs to Austrian castle hotel. Saturday Vigil 19:00 at Stiftskirche Spital am Pyhrn (~30 min south) — covers Sunday obligation.</t>
        </is>
      </c>
      <c r="J6" s="6" t="n">
        <v>727</v>
      </c>
      <c r="K6" s="6" t="n"/>
    </row>
    <row r="7">
      <c r="A7" s="6" t="n">
        <v>2</v>
      </c>
      <c r="B7" s="6" t="inlineStr">
        <is>
          <t>Sun 12 Jul</t>
        </is>
      </c>
      <c r="C7" s="6" t="inlineStr">
        <is>
          <t>Austria 🇦🇹</t>
        </is>
      </c>
      <c r="D7" s="6" t="inlineStr">
        <is>
          <t>Burg Altpernstein (Altpernstein 1, 4563 Micheldorf) — day-trip options</t>
        </is>
      </c>
      <c r="E7" s="13" t="inlineStr">
        <is>
          <t>Burg Altpernstein</t>
        </is>
      </c>
      <c r="F7" s="6" t="inlineStr">
        <is>
          <t>Burg base · Salzburg + Hallstatt OR Hallstatt only OR full Salzkammergut</t>
        </is>
      </c>
      <c r="G7" s="6" t="inlineStr">
        <is>
          <t>Salzburg+Hallstatt loop ~5h drive · Hallstatt only ~3h drive</t>
        </is>
      </c>
      <c r="H7" s="6" t="inlineStr">
        <is>
          <t>09:00 Mass · day flexible</t>
        </is>
      </c>
      <c r="I7" s="6" t="inlineStr">
        <is>
          <t>NO Mass needed (Sat Vigil at Spital am Pyhrn covered Sun obligation). Three day-trip options from Burg Altpernstein:
OPTION A (sleep day): castle relax, jet-lag recovery, short walk in Pyhrn valley. ~7 hr day banked for Day 3 Prague drive.
OPTION B (Hallstatt only · RECOMMENDED): 09:00 leave · 10:30 Hallstatt arrival · Catholic Pfarrkirche + Bone House + Skywalk + lakeside · 16:00 leave · 17:30 back at castle. ~7 hr day, 3h driving.
OPTION C (full Salzkammergut): add Salzwelten salt mine + Schafbergbahn cog railway. 10-11 hr day, 4.5h driving. Ambitious for Day 2 jet-lag.
OPTION D (SOUND OF MUSIC + Hallstatt): 08:00 leave · 09:30 Salzburg arrival · Residenzplatz (Residenzpl. 4, 5020 Salzburg) — main baroque square + Cathedral + Residenzbrunnen fountain · Felsenreitschule (Hofstallgasse 1) — baroque cliff theatre, Sound of Music "Edelweiss" finale location · Mozart Birthplace (Getreidegasse 9) · Hohensalzburg Fortress funicular · 13:00 lunch Café Tomaselli or Stiftskeller St. Peter (oldest restaurant in Europe, est. 803) · 14:00 drive Salzburg → Hallstatt (1h 15m via B158 lakes route) · 15:15 Hallstatt sights · 17:00 leave · 18:30 back Burg. ~10 hr day, 5h driving. Two Austrian icons in one trip.
⛪ BACKUP if Sat Vigil missed: Sun 09:00 Spital am Pyhrn OR 10:00/10:30 Hallstatt Pfarrkirche Mariä Himmelfahrt.</t>
        </is>
      </c>
      <c r="J7" s="39" t="n"/>
      <c r="K7" s="39" t="n"/>
    </row>
    <row r="8" ht="54.75" customHeight="1" s="38">
      <c r="A8" s="6" t="n">
        <v>3</v>
      </c>
      <c r="B8" s="6" t="inlineStr">
        <is>
          <t>Mon 13 Jul</t>
        </is>
      </c>
      <c r="C8" s="6" t="inlineStr">
        <is>
          <t>Czechia 🇨🇿</t>
        </is>
      </c>
      <c r="D8" s="6" t="inlineStr">
        <is>
          <t>Prague</t>
        </is>
      </c>
      <c r="E8" s="13" t="inlineStr">
        <is>
          <t>Gold Art Apartment</t>
        </is>
      </c>
      <c r="F8" s="6" t="inlineStr">
        <is>
          <t>Burg Altpernstein → Prague</t>
        </is>
      </c>
      <c r="G8" s="6" t="inlineStr">
        <is>
          <t>~430 km · 4.5–5 hrs</t>
        </is>
      </c>
      <c r="H8" s="9" t="inlineStr">
        <is>
          <t>08:00</t>
        </is>
      </c>
      <c r="I8" s="6" t="inlineStr">
        <is>
          <t>Drive north to Prague. Arrive mid-afternoon — Charles Bridge at golden hour, Old Town Square, Czech beer hall. Check in to Gold Art Apartment. 🧺 LAUNDRY DROP: Prague Andy's Laundromat (Korunní 14, Vinohrady) — open 9am–8pm daily, ~€10–15 family load, cards OK, English-speaking. Drop on arrival, pick up before dinner.</t>
        </is>
      </c>
      <c r="J8" s="6" t="n">
        <v>626</v>
      </c>
      <c r="K8" s="6" t="n"/>
    </row>
    <row r="9" ht="54.75" customHeight="1" s="38">
      <c r="A9" s="6" t="n">
        <v>4</v>
      </c>
      <c r="B9" s="6" t="inlineStr">
        <is>
          <t>Tue 14 Jul</t>
        </is>
      </c>
      <c r="C9" s="6" t="inlineStr">
        <is>
          <t>Czechia 🇨🇿</t>
        </is>
      </c>
      <c r="D9" s="6" t="inlineStr">
        <is>
          <t>Prague</t>
        </is>
      </c>
      <c r="E9" s="13" t="inlineStr">
        <is>
          <t>Gold Art Apartment</t>
        </is>
      </c>
      <c r="F9" s="6" t="inlineStr">
        <is>
          <t>Prague (full day)</t>
        </is>
      </c>
      <c r="G9" s="6" t="inlineStr">
        <is>
          <t>—</t>
        </is>
      </c>
      <c r="H9" s="6" t="inlineStr">
        <is>
          <t>Full day</t>
        </is>
      </c>
      <c r="I9" s="6" t="inlineStr">
        <is>
          <t>Prague Castle &amp; St. Vitus Cathedral, Josefov Jewish Quarter, Wenceslas Square, Vltava river cruise.</t>
        </is>
      </c>
      <c r="J9" s="39" t="n"/>
      <c r="K9" s="39" t="n"/>
    </row>
    <row r="10" ht="54.75" customHeight="1" s="38">
      <c r="A10" s="6" t="n">
        <v>5</v>
      </c>
      <c r="B10" s="6" t="inlineStr">
        <is>
          <t>Wed 15 Jul</t>
        </is>
      </c>
      <c r="C10" s="6" t="inlineStr">
        <is>
          <t>Austria 🇦🇹</t>
        </is>
      </c>
      <c r="D10" s="6" t="inlineStr">
        <is>
          <t>Vienna</t>
        </is>
      </c>
      <c r="E10" s="16" t="inlineStr">
        <is>
          <t>The Levante Laudon</t>
        </is>
      </c>
      <c r="F10" s="6" t="inlineStr">
        <is>
          <t>Prague → Vienna</t>
        </is>
      </c>
      <c r="G10" s="6" t="inlineStr">
        <is>
          <t>~320 km · 3.5–4 hrs</t>
        </is>
      </c>
      <c r="H10" s="6" t="inlineStr">
        <is>
          <t>11:00</t>
        </is>
      </c>
      <c r="I10" s="6" t="inlineStr">
        <is>
          <t>Morning Prague Castle area. Drive south, arrive lunch. Schönbrunn Palace, Ringstrasse, Naschmarkt, Sachertorte at Café Sacher.</t>
        </is>
      </c>
      <c r="J10" s="6" t="n">
        <v>326</v>
      </c>
      <c r="K10" s="6" t="n"/>
    </row>
    <row r="11" ht="54.75" customHeight="1" s="38">
      <c r="A11" s="6" t="n">
        <v>6</v>
      </c>
      <c r="B11" s="6" t="inlineStr">
        <is>
          <t>Thu 16 Jul</t>
        </is>
      </c>
      <c r="C11" s="6" t="inlineStr">
        <is>
          <t>Hungary 🇭🇺</t>
        </is>
      </c>
      <c r="D11" s="6" t="inlineStr">
        <is>
          <t>Budapest</t>
        </is>
      </c>
      <c r="E11" s="13" t="inlineStr">
        <is>
          <t>City Home Budapest</t>
        </is>
      </c>
      <c r="F11" s="6" t="inlineStr">
        <is>
          <t>Vienna → Budapest</t>
        </is>
      </c>
      <c r="G11" s="6" t="inlineStr">
        <is>
          <t>~270 km · 2.5–3.5 hrs</t>
        </is>
      </c>
      <c r="H11" s="6" t="inlineStr">
        <is>
          <t>10:00</t>
        </is>
      </c>
      <c r="I11" s="6" t="inlineStr">
        <is>
          <t>Drive Vienna→Budapest. 🧺 LAUNDRY DROP on arrival ~14:00: walk 7 min from City Home to self-service laundry at Dohány u. 37 (cash only HUF/€, ~3,000 HUF / €7.50, open 9am–10pm). Drop, then sightsee while it washes (~3 hrs). Park at City Home underground garage (~€20/night). Walk to Castle Hill via Chain Bridge — funicular up to Fisherman's Bastion, Matthias Church, Buda Castle exterior. Pick up clean clothes ~17:30. Széchenyi Thermal Baths via M1 metro from Oktogon. Goulash dinner; kürtőskalács for the kids. Parliament view from Buda side at sunset.</t>
        </is>
      </c>
      <c r="J11" s="6" t="n">
        <v>282</v>
      </c>
      <c r="K11" s="6" t="n"/>
    </row>
    <row r="12" ht="54.75" customHeight="1" s="38">
      <c r="A12" s="6" t="n">
        <v>7</v>
      </c>
      <c r="B12" s="6" t="inlineStr">
        <is>
          <t>Fri 17 Jul</t>
        </is>
      </c>
      <c r="C12" s="6" t="inlineStr">
        <is>
          <t>Italy 🇮🇹 (via 🇸🇮)</t>
        </is>
      </c>
      <c r="D12" s="6" t="inlineStr">
        <is>
          <t>Venice / Mestre (mainland)</t>
        </is>
      </c>
      <c r="E12" s="13" t="inlineStr">
        <is>
          <t>Trilocale Venezia Mestre · 5 min Stazione</t>
        </is>
      </c>
      <c r="F12" s="6" t="inlineStr">
        <is>
          <t>Budapest → Bled stop → Mestre</t>
        </is>
      </c>
      <c r="G12" s="6" t="inlineStr">
        <is>
          <t>~530 km · 8–9 hrs</t>
        </is>
      </c>
      <c r="H12" s="9" t="inlineStr">
        <is>
          <t>07:30</t>
        </is>
      </c>
      <c r="I12" s="6" t="inlineStr">
        <is>
          <t>Bled, Slovenia 2.5hr stop — emerald glacial lake, castle, kremšnita cake. Continue to Mestre (mainland Venice). Park free at hotel (much better than €30/day Piazzale Roma garage). Quick freshen-up, then train Mestre → Venezia Santa Lucia (~10 min, ~€1.50, every 5–10 min) for evening on the islands.</t>
        </is>
      </c>
      <c r="J12" s="2" t="n">
        <v>821</v>
      </c>
      <c r="K12" s="2" t="n"/>
    </row>
    <row r="13" ht="54.75" customHeight="1" s="38">
      <c r="A13" s="6" t="n">
        <v>8</v>
      </c>
      <c r="B13" s="6" t="inlineStr">
        <is>
          <t>Sat 18 Jul</t>
        </is>
      </c>
      <c r="C13" s="6" t="inlineStr">
        <is>
          <t>Italy 🇮🇹</t>
        </is>
      </c>
      <c r="D13" s="6" t="inlineStr">
        <is>
          <t>Venice / Mestre (mainland)</t>
        </is>
      </c>
      <c r="E13" s="13" t="inlineStr">
        <is>
          <t>Trilocale Venezia Mestre (same hotel)</t>
        </is>
      </c>
      <c r="F13" s="6" t="inlineStr">
        <is>
          <t>Venice (full day)</t>
        </is>
      </c>
      <c r="G13" s="6" t="inlineStr">
        <is>
          <t>—</t>
        </is>
      </c>
      <c r="H13" s="6" t="inlineStr">
        <is>
          <t>Full day</t>
        </is>
      </c>
      <c r="I13" s="6" t="inlineStr">
        <is>
          <t>Venice full day on islands. Train Mestre → Santa Lucia. Piazza San Marco, Doge's Palace, Rialto, Burano. ⛪ 17:00 Saturday Vigil Mass at Basilica San Marco (covers Sunday).</t>
        </is>
      </c>
    </row>
    <row r="14" ht="54.75" customHeight="1" s="38">
      <c r="A14" s="6" t="n">
        <v>9</v>
      </c>
      <c r="B14" s="6" t="inlineStr">
        <is>
          <t>Sun 19 Jul</t>
        </is>
      </c>
      <c r="C14" s="6" t="inlineStr">
        <is>
          <t>Italy 🇮🇹</t>
        </is>
      </c>
      <c r="D14" s="6" t="inlineStr">
        <is>
          <t>Florence</t>
        </is>
      </c>
      <c r="E14" s="13" t="inlineStr">
        <is>
          <t>Garden Blue (San Gallo / Campo Grande)</t>
        </is>
      </c>
      <c r="F14" s="6" t="inlineStr">
        <is>
          <t>Venice → Florence</t>
        </is>
      </c>
      <c r="G14" s="6" t="inlineStr">
        <is>
          <t>~270 km · 3–3.5 hrs</t>
        </is>
      </c>
      <c r="H14" s="6" t="inlineStr">
        <is>
          <t>10:00</t>
        </is>
      </c>
      <c r="I14" s="6" t="inlineStr">
        <is>
          <t>Mestre → optional Padua stop (Basilica di Sant'Antonio sightseeing — NO Mass needed) → Florence. Garden Blue check-in, Ponte Vecchio, Piazzale Michelangelo sunset. ⛪ BACKUP if Sat Vigil missed: Padua sung Mass 10:00 OR Florence Santissima Annunziata 18:30 / Duomo 17:00 / Santa Croce 17:30.</t>
        </is>
      </c>
      <c r="J14" s="17" t="n">
        <v>353</v>
      </c>
      <c r="K14" s="2" t="n"/>
    </row>
    <row r="15" ht="129.75" customHeight="1" s="38">
      <c r="A15" s="6" t="n">
        <v>10</v>
      </c>
      <c r="B15" s="6" t="inlineStr">
        <is>
          <t>Mon 20 Jul</t>
        </is>
      </c>
      <c r="C15" s="6" t="inlineStr">
        <is>
          <t>Italy 🇮🇹 (via 🇺 Umbria)</t>
        </is>
      </c>
      <c r="D15" s="6" t="inlineStr">
        <is>
          <t>Rome (Aurelio · west of Vatican)</t>
        </is>
      </c>
      <c r="E15" s="13" t="inlineStr">
        <is>
          <t>Auri apartment (near Vatican Museums)</t>
        </is>
      </c>
      <c r="F15" s="6" t="inlineStr">
        <is>
          <t>Florence → Pisa → Montecchio → Perugia → Rome</t>
        </is>
      </c>
      <c r="G15" s="6" t="inlineStr">
        <is>
          <t>~570 km · 8+ hrs (incl stops)</t>
        </is>
      </c>
      <c r="H15" s="6" t="inlineStr">
        <is>
          <t>09:00 from Florence</t>
        </is>
      </c>
      <c r="I15" s="6" t="inlineStr">
        <is>
          <t>TRAVEL DAY: Florence→Rome via Tuscany+Umbria. Stops: Pisa (Tower photo, ~1hr), Castello di Montecchio Vesponi (~30min), Perugia (Palazzo dei Priori + Arco Etrusco, ~1hr). Arrive Rome ~19:30, check in DaBrieBra Vaticano (Aurelio · 17min walk Vatican). Evening: Cipro metro→Spagna→Trevi Fountain at night (lit, less crowded). ⚠️ Long day · drop Pisa OR Montecchio if kids fading.</t>
        </is>
      </c>
      <c r="J15" s="17" t="n">
        <v>1239</v>
      </c>
      <c r="K15" s="2" t="n"/>
    </row>
    <row r="16" ht="129.75" customHeight="1" s="38">
      <c r="A16" s="6" t="n">
        <v>11</v>
      </c>
      <c r="B16" s="6" t="inlineStr">
        <is>
          <t>Tue 21 Jul</t>
        </is>
      </c>
      <c r="C16" s="6" t="inlineStr">
        <is>
          <t>Italy 🇮🇹</t>
        </is>
      </c>
      <c r="D16" s="6" t="inlineStr">
        <is>
          <t>Rome (Aurelio · west of Vatican)</t>
        </is>
      </c>
      <c r="E16" s="13" t="inlineStr">
        <is>
          <t>Auri apartment (same)</t>
        </is>
      </c>
      <c r="F16" s="6" t="inlineStr">
        <is>
          <t>Rome → Villa Balke → Pompeii → Castello di Lettere → Rome</t>
        </is>
      </c>
      <c r="G16" s="6" t="inlineStr">
        <is>
          <t>~480 km round · 6+ hrs driving</t>
        </is>
      </c>
      <c r="H16" s="9" t="inlineStr">
        <is>
          <t>07:30 from Rome</t>
        </is>
      </c>
      <c r="I16" s="6" t="inlineStr">
        <is>
          <t>Pompeii + Naples coast day trip from Rome. 07:30 leave · 10:30 lunch at Villa Balke (Torre del Greco, 4.6★) · 12:30–15:00 Pompeii archaeological site (pre-book pompeiisites.org) · 15:30 Castello di Lettere quick stop (Vesuvius views) · ~16:30 drive back to Rome. Optional evening: Cipro→San Giovanni metro for Basilica of San Giovanni in Laterano (Cathedral of Rome, daily Mass 18:00). Skip San Giovanni if exhausted, see Day 12 morning.</t>
        </is>
      </c>
      <c r="K16" s="2" t="n"/>
    </row>
    <row r="17" ht="129.75" customHeight="1" s="38">
      <c r="A17" s="6" t="n">
        <v>12</v>
      </c>
      <c r="B17" s="6" t="inlineStr">
        <is>
          <t>Wed 22 Jul</t>
        </is>
      </c>
      <c r="C17" s="6" t="inlineStr">
        <is>
          <t>Italy 🇮🇹 / Vatican City</t>
        </is>
      </c>
      <c r="D17" s="6" t="inlineStr">
        <is>
          <t>Rome — Vatican walking day</t>
        </is>
      </c>
      <c r="E17" s="13" t="inlineStr">
        <is>
          <t>Auri apartment (same)</t>
        </is>
      </c>
      <c r="F17" s="6" t="inlineStr">
        <is>
          <t>Walking day (no driving)</t>
        </is>
      </c>
      <c r="G17" s="6" t="inlineStr">
        <is>
          <t>~10 km on foot</t>
        </is>
      </c>
      <c r="H17" s="6" t="inlineStr">
        <is>
          <t>07:00 leave hotel</t>
        </is>
      </c>
      <c r="I17" s="6" t="inlineStr">
        <is>
          <t>VATICAN DAY · the trip's biggest single day (~10km walking). 08:30 walk 17min to Vatican Museums entrance. 09:00 Vatican Museums (pre-booked museivaticani.va) · Gallery of Maps · Sistine Chapel. Use chapel-to-basilica shortcut into St. Peter's. Lunch in Borgo Pio (skip Via della Conciliazione tourist traps). Castel Sant'Angelo + Bridge of Angels. Walk to Piazza Navona for evening. Dinner around Piazza Navona, gelato Tre Scalini (truffle). Taxi back to hotel. Daily Mass at St. Peter's 17:00 (Italian) for today's Mass.</t>
        </is>
      </c>
      <c r="K17" s="2" t="n"/>
    </row>
    <row r="18" ht="54.75" customHeight="1" s="38">
      <c r="A18" s="6" t="n">
        <v>13</v>
      </c>
      <c r="B18" s="6" t="inlineStr">
        <is>
          <t>Thu 23 Jul</t>
        </is>
      </c>
      <c r="C18" s="6" t="inlineStr">
        <is>
          <t>Italy 🇮🇹</t>
        </is>
      </c>
      <c r="D18" s="6" t="inlineStr">
        <is>
          <t>Milan</t>
        </is>
      </c>
      <c r="E18" s="6" t="inlineStr">
        <is>
          <t>Rasika Ayya's place (friend stay) 💚</t>
        </is>
      </c>
      <c r="F18" s="6" t="inlineStr">
        <is>
          <t>Rome → Florence stop → Milan</t>
        </is>
      </c>
      <c r="G18" s="6" t="inlineStr">
        <is>
          <t>~580 km · 6.5–7.5 hrs</t>
        </is>
      </c>
      <c r="H18" s="9" t="inlineStr">
        <is>
          <t>07:30</t>
        </is>
      </c>
      <c r="I18" s="6" t="inlineStr">
        <is>
          <t>Drive north Rome→Milan via Florence stop. Arrive Milan late afternoon, dinner with Rasika Ayya &amp; family. Address TBC.</t>
        </is>
      </c>
      <c r="J18" s="2" t="n"/>
      <c r="K18" s="2" t="n"/>
    </row>
    <row r="19" ht="54.75" customHeight="1" s="38">
      <c r="A19" s="6" t="n">
        <v>14</v>
      </c>
      <c r="B19" s="6" t="inlineStr">
        <is>
          <t>Fri 24 Jul</t>
        </is>
      </c>
      <c r="C19" s="6" t="inlineStr">
        <is>
          <t>Switzerland 🇨🇭 (via 🇮🇹)</t>
        </is>
      </c>
      <c r="D19" s="6" t="inlineStr">
        <is>
          <t>Stalden (Valais)</t>
        </is>
      </c>
      <c r="E19" s="6" t="inlineStr">
        <is>
          <t>Postman 8 · Room 3 (Kirchweg 8, 3922 Stalden)</t>
        </is>
      </c>
      <c r="F19" s="6" t="inlineStr">
        <is>
          <t>Milan (half-day) → Stalden</t>
        </is>
      </c>
      <c r="G19" s="6" t="inlineStr">
        <is>
          <t>~290 km · 3.5–4 hrs (incl. Simplon)</t>
        </is>
      </c>
      <c r="H19" s="6" t="inlineStr">
        <is>
          <t>08:30 Duomo · 14:30 leave Milan</t>
        </is>
      </c>
      <c r="I19" s="6" t="inlineStr">
        <is>
          <t>MORNING MILAN: Duomo + rooftop terrace (pre-book), Galleria Vittorio Emanuele II, Piazza della Scala exterior, Castello Sforzesco courtyards, lunch in Brera. AFTERNOON: drive Milan → Stalden via Lugano + Simplon Pass. Arrive Stalden ~18:00. Stalden is on the Zermatt train line — walk to Stalden-Saas station for tomorrow's Gornergrat.</t>
        </is>
      </c>
      <c r="J19" s="17" t="n">
        <v>374</v>
      </c>
      <c r="K19" s="2" t="n"/>
    </row>
    <row r="20" ht="54.75" customHeight="1" s="38">
      <c r="A20" s="6" t="n">
        <v>15</v>
      </c>
      <c r="B20" s="6" t="inlineStr">
        <is>
          <t>Sat 25 Jul</t>
        </is>
      </c>
      <c r="C20" s="6" t="inlineStr">
        <is>
          <t>Switzerland 🇨🇭</t>
        </is>
      </c>
      <c r="D20" s="6" t="inlineStr">
        <is>
          <t>Moléson-sur-Gruyères (Fribourg)</t>
        </is>
      </c>
      <c r="E20" s="6" t="inlineStr">
        <is>
          <t>La Pierre à Catillon (Route de Moléson 228, 1663)</t>
        </is>
      </c>
      <c r="F20" s="6" t="inlineStr">
        <is>
          <t>Stalden ↔ Zermatt (Gornergrat) → Moléson</t>
        </is>
      </c>
      <c r="G20" s="6" t="inlineStr">
        <is>
          <t>Train 30min·Stalden→Zermatt · ~190 km drive</t>
        </is>
      </c>
      <c r="H20" s="9" t="inlineStr">
        <is>
          <t>~07:00 Gornergrat · 13:00 leave Stalden</t>
        </is>
      </c>
      <c r="I20" s="6" t="inlineStr">
        <is>
          <t>GORNERGRAT MORNING: train Stalden → Zermatt → Gornergrat (3,089m). Back Stalden ~12:00. Drive Stalden → Moléson via A9 (~190 km, 2.5–3 hrs). ⛪ Saturday Vigil at Église Saint-Théodule Gruyères (5 km) or Saint-Pierre-aux-Liens Bulle (8 km) — confirm 18:00 time.</t>
        </is>
      </c>
      <c r="J20" s="17" t="n">
        <v>816</v>
      </c>
      <c r="K20" s="2" t="n"/>
    </row>
    <row r="21" ht="54.75" customHeight="1" s="38">
      <c r="A21" s="6" t="n">
        <v>16</v>
      </c>
      <c r="B21" s="6" t="inlineStr">
        <is>
          <t>Sun 26 Jul</t>
        </is>
      </c>
      <c r="C21" s="6" t="inlineStr">
        <is>
          <t>Switzerland 🇨🇭</t>
        </is>
      </c>
      <c r="D21" s="6" t="inlineStr">
        <is>
          <t>Moléson-sur-Gruyères (Fribourg)</t>
        </is>
      </c>
      <c r="E21" s="6" t="inlineStr">
        <is>
          <t>La Pierre à Catillon (same hotel, 2nd night)</t>
        </is>
      </c>
      <c r="F21" s="6" t="inlineStr">
        <is>
          <t>Moléson → Geneva day trip → Moléson</t>
        </is>
      </c>
      <c r="G21" s="6" t="inlineStr">
        <is>
          <t>~80 km / 1h 15min each way</t>
        </is>
      </c>
      <c r="H21" s="6" t="inlineStr">
        <is>
          <t>08:30 leave for 10:15 Mass</t>
        </is>
      </c>
      <c r="I21" s="6" t="inlineStr">
        <is>
          <t>Geneva day-trip from Moléson — SIGHTSEEING ONLY (Sat Vigil yesterday covered Sun obligation). Relaxed start ~10:00. Old Town, Cathédrale Saint-Pierre, Jet d'Eau, Mouettes ferry, Bains des Pâquis, Reformation Wall. Brief Notre-Dame visit optional. Return Moléson ~19:00. ⛪ BACKUP if Sat Vigil missed: 10:15 Sun Mass at Basilique Notre-Dame de Genève (would need leaving Moléson 08:30).</t>
        </is>
      </c>
      <c r="K21" s="2" t="n"/>
    </row>
    <row r="22" ht="54.75" customHeight="1" s="38">
      <c r="A22" s="6" t="n">
        <v>17</v>
      </c>
      <c r="B22" s="6" t="inlineStr">
        <is>
          <t>Mon 27 Jul</t>
        </is>
      </c>
      <c r="C22" s="6" t="inlineStr">
        <is>
          <t>Germany 🇩🇪 (via 🇨🇭)</t>
        </is>
      </c>
      <c r="D22" s="6" t="inlineStr">
        <is>
          <t>Ottobeuren (Bavaria)</t>
        </is>
      </c>
      <c r="E22" s="6" t="inlineStr">
        <is>
          <t>Hotel Hirsch (Marktplatz 12)</t>
        </is>
      </c>
      <c r="F22" s="6" t="inlineStr">
        <is>
          <t>Moléson → Bern stop → Ottobeuren via Zürich bypass</t>
        </is>
      </c>
      <c r="G22" s="6" t="inlineStr">
        <is>
          <t>~480 km · 5h drive + 3h Bern stop</t>
        </is>
      </c>
      <c r="H22" s="6" t="inlineStr">
        <is>
          <t>08:00 leave Moléson</t>
        </is>
      </c>
      <c r="I22" s="6" t="inlineStr">
        <is>
          <t>Drive Moléson → Bern (~1h). 3-hr Bern stop: Zytglogge, Kramgasse, BärenPark, lunch. Continue Bern → cross Swiss-German border at Bargen → Ottobeuren via A81/A7. Bavarian dinner at Hotel Hirsch. Visit Ottobeuren Abbey if time.</t>
        </is>
      </c>
      <c r="J22" s="17" t="n">
        <v>323</v>
      </c>
      <c r="K22" s="2" t="n"/>
    </row>
    <row r="23" ht="54.75" customHeight="1" s="38">
      <c r="A23" s="6" t="n">
        <v>18</v>
      </c>
      <c r="B23" s="6" t="inlineStr">
        <is>
          <t>Tue 28 Jul</t>
        </is>
      </c>
      <c r="C23" s="6" t="inlineStr">
        <is>
          <t>France 🇫🇷 (via 🇩🇪/🇳🇱)</t>
        </is>
      </c>
      <c r="D23" s="6" t="inlineStr">
        <is>
          <t>Lourdes</t>
        </is>
      </c>
      <c r="E23" s="6" t="inlineStr">
        <is>
          <t>Hôtel Atrium Mondial (19 Avenue du Paradis, 65100 Lourdes) ✓ Booked</t>
        </is>
      </c>
      <c r="F23" s="6" t="inlineStr">
        <is>
          <t>Ottobeuren → MUC drop car → KLM via AMS → TLS → Lourdes</t>
        </is>
      </c>
      <c r="G23" s="6" t="inlineStr">
        <is>
          <t>145 km drive + 4h25m KLM + 150 km drive</t>
        </is>
      </c>
      <c r="H23" s="9" t="inlineStr">
        <is>
          <t>09:00 from Ottobeuren</t>
        </is>
      </c>
      <c r="I23" s="6" t="inlineStr">
        <is>
          <t>Drive Ottobeuren → MUC airport, drop German rental car. KLM 11:50 MUC → AMS → TLS 16:15 (Schiphol layover). Pick up TLS rental. Drive 2h south to Lourdes, arrive 19:00. Family dinner. 21:00 🕯️ Torch Procession at Sanctuary of Our Lady of Lourdes (Crowned Statue → Esplanade → Rosary Basilica).</t>
        </is>
      </c>
      <c r="J23" s="17">
        <f>261</f>
        <v/>
      </c>
      <c r="K23" s="2" t="n"/>
    </row>
    <row r="24" ht="54.75" customHeight="1" s="38">
      <c r="A24" s="6" t="n">
        <v>19</v>
      </c>
      <c r="B24" s="6" t="inlineStr">
        <is>
          <t>Wed 29 Jul</t>
        </is>
      </c>
      <c r="C24" s="6" t="inlineStr">
        <is>
          <t>France 🇫🇷 (Paris overnight)</t>
        </is>
      </c>
      <c r="D24" s="6" t="inlineStr">
        <is>
          <t>Paris</t>
        </is>
      </c>
      <c r="E24" s="6" t="inlineStr">
        <is>
          <t>Chic Paris 15 Haven · 14 Rue Théophraste Renaudot, 75015 Paris · 1-bed apt · 2 adults + 3 kids · Conf #6140525065 PIN 2460 · €193.88 ✓ Booked</t>
        </is>
      </c>
      <c r="F24" s="6" t="inlineStr">
        <is>
          <t>Lourdes → TLS drop → Tram T2 → TGV → Paris Montparnasse</t>
        </is>
      </c>
      <c r="G24" s="6" t="inlineStr">
        <is>
          <t>150 km drive + Tram 35min + TGV 4h35m</t>
        </is>
      </c>
      <c r="H24" s="9" t="inlineStr">
        <is>
          <t>06:15 wake / 07:30 leave Lourdes</t>
        </is>
      </c>
      <c r="I24" s="6" t="inlineStr">
        <is>
          <t>🚆 TRAIN DAY TO PARIS (~9h). Drive 1h30 Lourdes→TLS airport (drop Avis ~09:00). Tram T2 → Gare Toulouse Matabiau (~09:15–09:50). 10:20 TGV 8508 (Coach 12 · Seats 224-229) → Paris Montparnasse 14:55 (4h35m · Booking Z272DK). Taxi/Métro to hotel TBC (~30min). Afternoon: Eiffel Tower &amp; Champ de Mars walk (~17:00 golden hour) + Notre-Dame + Seine riverside stroll. Dinner in Paris. Hotel: Chic Paris 15 Haven (14 Rue Théophraste Renaudot, 75015 · Métro Convention Line 12). Check-in 15:00-22:00 · Conf #6140525065 PIN 2460 · Host +33 7 80 91 39 86. 📎 Tickets folder: https://drive.google.com/drive/u/0/folders/1CuB4i6hZnuqjQUtDhz3dwmXm0OmPSS3g 🏨 Booking: https://www.booking.com/hotel/fr/chic-paris-15-haven-1-bedroom-apartment-free-netflix.en-gb.html?label=gen173nr-10CAEoggI46AdIM1gEaK4BiAEBmAEzuAEXyAEM2AED6AEB-AEBiAIBqAIBuAKh8tnQBsACAdICJDYyYWM5YTc0LTUxMzAtNDljNS04N2VhLWZkMGIxMTI1YWZjNNgCAeACAQ&amp;sid=634446106ee57756abf6671b2605010a&amp;aid=304142</t>
        </is>
      </c>
      <c r="J24" s="2" t="n"/>
      <c r="K24" s="2" t="n"/>
    </row>
    <row r="25" ht="54.75" customHeight="1" s="38">
      <c r="A25" s="7" t="n">
        <v>20</v>
      </c>
      <c r="B25" s="7" t="inlineStr">
        <is>
          <t>Thu 30 Jul</t>
        </is>
      </c>
      <c r="C25" s="7" t="inlineStr">
        <is>
          <t>France 🇫🇷 → Netherlands 🇳🇱</t>
        </is>
      </c>
      <c r="D25" s="7" t="inlineStr">
        <is>
          <t>Amsterdam</t>
        </is>
      </c>
      <c r="E25" s="7" t="inlineStr">
        <is>
          <t>Cousin's home 💚 (no booking)</t>
        </is>
      </c>
      <c r="F25" s="7" t="inlineStr">
        <is>
          <t>Paris (full day) → Eurostar 9387 → Amsterdam Schiphol (evening)</t>
        </is>
      </c>
      <c r="G25" s="7" t="inlineStr">
        <is>
          <t>Paris walking + Métro · Eurostar 3h 11m (20:22 → 23:33)</t>
        </is>
      </c>
      <c r="H25" s="7" t="inlineStr">
        <is>
          <t>Slow morning / 19:30 leave for Gare du Nord</t>
        </is>
      </c>
      <c r="I25" s="7" t="inlineStr">
        <is>
          <t>🥐 FULL PARIS DAY. Slow morning · Sacré-Cœur &amp; Montmartre (dome view) · Louvre courtyard + Tuileries Garden → Place de la Concorde · Champs-Élysées walk up to Arc de Triomphe (climb optional €13pp) · café break · Hotel checkout by 11:00 → drop bags at Gare du Nord lockers (consigne) → sightsee unburdened all day → 🚄 Eurostar 9387 from Paris Gare du Nord 20:22 (Coach 13 · Seats 72-76) → Amsterdam Schiphol 23:33 · cousin pickup · late check-in at cousin's home. BE AT GARE DU NORD BY 19:52 (boarding closes T-30 min). 📎 Tickets folder: https://drive.google.com/drive/u/0/folders/1ok8hTVTeOR1W4Ze3zHlGVyOAVEZQjL32</t>
        </is>
      </c>
      <c r="J25" s="2" t="n"/>
      <c r="K25" s="2" t="n"/>
    </row>
    <row r="26" ht="54.75" customHeight="1" s="38">
      <c r="A26" s="6" t="n">
        <v>21</v>
      </c>
      <c r="B26" s="6" t="inlineStr">
        <is>
          <t>Fri 31 Jul</t>
        </is>
      </c>
      <c r="C26" s="6" t="inlineStr">
        <is>
          <t>Netherlands 🇳🇱</t>
        </is>
      </c>
      <c r="D26" s="6" t="inlineStr">
        <is>
          <t>Amsterdam</t>
        </is>
      </c>
      <c r="E26" s="6" t="inlineStr">
        <is>
          <t>Cousin's home 💚</t>
        </is>
      </c>
      <c r="F26" s="6" t="inlineStr">
        <is>
          <t>Amsterdam local · no driving</t>
        </is>
      </c>
      <c r="G26" s="6" t="inlineStr">
        <is>
          <t>— foot + tram + bike</t>
        </is>
      </c>
      <c r="H26" s="6" t="inlineStr">
        <is>
          <t>Slow morning</t>
        </is>
      </c>
      <c r="I26" s="6" t="inlineStr">
        <is>
          <t>AMSTERDAM DAY 1. Anne Frank House (pre-book essential · ~€16pp). Rijksmuseum exterior + Museumplein. Canal boat tour option (~€15pp). Jordaan neighbourhood lunch. Albert Cuyp Market (Poffertjes!). Cousin's for dinner. Canals at dusk.</t>
        </is>
      </c>
      <c r="J26" s="2" t="n"/>
      <c r="K26" s="2" t="n"/>
    </row>
    <row r="27" ht="54.75" customHeight="1" s="38">
      <c r="A27" s="6" t="n">
        <v>22</v>
      </c>
      <c r="B27" s="6" t="inlineStr">
        <is>
          <t>Sat 1 Aug</t>
        </is>
      </c>
      <c r="C27" s="6" t="inlineStr">
        <is>
          <t>Netherlands 🇳🇱 (rest)</t>
        </is>
      </c>
      <c r="D27" s="6" t="inlineStr">
        <is>
          <t>Amsterdam</t>
        </is>
      </c>
      <c r="E27" s="6" t="inlineStr">
        <is>
          <t>Cousin's home 💚</t>
        </is>
      </c>
      <c r="F27" s="6" t="inlineStr">
        <is>
          <t>Amsterdam local · no driving</t>
        </is>
      </c>
      <c r="G27" s="6" t="inlineStr">
        <is>
          <t>— foot + tram + Sint-Nicolaaskerk</t>
        </is>
      </c>
      <c r="H27" s="6" t="inlineStr">
        <is>
          <t>Slow morning</t>
        </is>
      </c>
      <c r="I27" s="6" t="inlineStr">
        <is>
          <t>REST DAY at cousin's after long Day 21 drive. Slow morning. Anne Frank House (pre-book essential), Rijksmuseum, Vondelpark for kids, Jordaan canal walk, Albert Cuypmarkt for stroopwafels. ⛪ Sat 17:00 Vigil at Sint-Nicolaaskerk (Prins Hendrikkade 73, opposite Centraal Station · 5 min from many places in centre · English Mass option). Dinner with cousin, last full evening together.</t>
        </is>
      </c>
      <c r="J27" s="2" t="n"/>
      <c r="K27" s="2" t="n"/>
    </row>
    <row r="28" ht="54.75" customHeight="1" s="38">
      <c r="A28" s="7" t="n">
        <v>23</v>
      </c>
      <c r="B28" s="7" t="inlineStr">
        <is>
          <t>Sun 2 Aug</t>
        </is>
      </c>
      <c r="C28" s="7" t="inlineStr">
        <is>
          <t>Denmark 🇩🇰 (via 🇳🇱)</t>
        </is>
      </c>
      <c r="D28" s="7" t="inlineStr">
        <is>
          <t>Copenhagen</t>
        </is>
      </c>
      <c r="E28" s="7" t="inlineStr">
        <is>
          <t>Danhostel Copenhagen City (H. C. Andersens Boulevard 50, 1553 Copenhagen) ✓ Booked</t>
        </is>
      </c>
      <c r="F28" s="7" t="inlineStr">
        <is>
          <t>AMS → fly KLM AMS→CPH evening</t>
        </is>
      </c>
      <c r="G28" s="7" t="inlineStr">
        <is>
          <t>✈ ~1h 25min</t>
        </is>
      </c>
      <c r="H28" s="7" t="inlineStr">
        <is>
          <t>10:00 Sun Mass / 17:00 to airport</t>
        </is>
      </c>
      <c r="I28" s="7" t="inlineStr">
        <is>
          <t>Easy Sunday at cousin's. NO Mass needed (Sat Vigil at Bruges yesterday covered it). Slow morning. Late brunch with cousin. Return cousin's car. KLM 19:00 AMS→CPH 20:30. ⛪ BACKUP if Sat Vigil missed: 10:30 Sun Mass at Sint-Nicolaaskerk Amsterdam (Prins Hendrikkade 73, opposite Centraal · English Mass option).</t>
        </is>
      </c>
      <c r="J28" s="2" t="n"/>
      <c r="K28" s="2" t="n"/>
    </row>
    <row r="29" ht="54.75" customHeight="1" s="38">
      <c r="A29" s="8" t="n">
        <v>24</v>
      </c>
      <c r="B29" s="8" t="inlineStr">
        <is>
          <t>Mon 3 Aug</t>
        </is>
      </c>
      <c r="C29" s="8" t="inlineStr">
        <is>
          <t>Sweden 🇸🇪 (via 🇩🇰)</t>
        </is>
      </c>
      <c r="D29" s="8" t="inlineStr">
        <is>
          <t>Gothenburg</t>
        </is>
      </c>
      <c r="E29" s="8" t="inlineStr">
        <is>
          <t>Sister's place 💙 (or nearby hotel)</t>
        </is>
      </c>
      <c r="F29" s="8" t="inlineStr">
        <is>
          <t>CPH → Gothenburg X2000 (Öresund Bridge)</t>
        </is>
      </c>
      <c r="G29" s="8" t="inlineStr">
        <is>
          <t>🚆 ~3h 40min</t>
        </is>
      </c>
      <c r="H29" s="8" t="inlineStr">
        <is>
          <t>13:00 X2000 from CPH Central</t>
        </is>
      </c>
      <c r="I29" s="8" t="inlineStr">
        <is>
          <t>Morning Copenhagen — Nyhavn (colourful harbour photos), Tivoli Gardens (kids LOVE it · €25/€11 · gentle rides + thrills), optional Little Mermaid. 13:00 X2000 train CPH Central → Gothenburg Central via Öresund Bridge (8 km crossing!) arriving 16:40. Sister pickup. Family dinner.</t>
        </is>
      </c>
      <c r="J29" s="2" t="n"/>
      <c r="K29" s="2" t="n"/>
    </row>
    <row r="30" ht="54.75" customHeight="1" s="38">
      <c r="A30" s="8" t="n">
        <v>25</v>
      </c>
      <c r="B30" s="8" t="inlineStr">
        <is>
          <t>Tue 4 Aug</t>
        </is>
      </c>
      <c r="C30" s="8" t="inlineStr">
        <is>
          <t>Sweden 🇸🇪</t>
        </is>
      </c>
      <c r="D30" s="8" t="inlineStr">
        <is>
          <t>Gothenburg</t>
        </is>
      </c>
      <c r="E30" s="8" t="inlineStr">
        <is>
          <t>Sister's place 💙</t>
        </is>
      </c>
      <c r="F30" s="8" t="inlineStr">
        <is>
          <t>Gothenburg full day with sister</t>
        </is>
      </c>
      <c r="G30" s="8" t="inlineStr">
        <is>
          <t>— local</t>
        </is>
      </c>
      <c r="H30" s="8" t="inlineStr">
        <is>
          <t>Slow morning</t>
        </is>
      </c>
      <c r="I30" s="8" t="inlineStr">
        <is>
          <t>Full sister day. Liseberg amusement park (Europe's best · ~5h · pre-book Pass Plus for kids). Haga district 17th-century wooden houses · giant cinnamon bun at Café Husaren. Optional archipelago boat from Saltholmen. Family dinner. Long Swedish summer evening light til 22:00.</t>
        </is>
      </c>
      <c r="J30" s="2" t="n"/>
      <c r="K30" s="2" t="n"/>
    </row>
    <row r="31" ht="54.75" customHeight="1" s="38">
      <c r="A31" s="6" t="inlineStr">
        <is>
          <t>—</t>
        </is>
      </c>
      <c r="B31" s="6" t="inlineStr">
        <is>
          <t>Wed 5 Aug</t>
        </is>
      </c>
      <c r="C31" s="6" t="inlineStr">
        <is>
          <t>Germany 🇩🇪</t>
        </is>
      </c>
      <c r="D31" s="6" t="inlineStr">
        <is>
          <t>Hilton Munich Airport (TBD) / Premier Inn Flughafen Ost (budget)</t>
        </is>
      </c>
      <c r="E31" s="6" t="inlineStr">
        <is>
          <t>Novotel MUC Airport (TBD)</t>
        </is>
      </c>
      <c r="F31" s="6" t="inlineStr">
        <is>
          <t>Gothenburg → Munich (fly)</t>
        </is>
      </c>
      <c r="G31" s="6" t="inlineStr">
        <is>
          <t>✈ ~2 hrs</t>
        </is>
      </c>
      <c r="H31" s="9" t="inlineStr">
        <is>
          <t>06:30 GOT</t>
        </is>
      </c>
      <c r="I31" s="6" t="inlineStr">
        <is>
          <t>Wake 05:00. Taxi 05:20. GOT→MUC, land 08:30. Novotel MUC overnight ~€60–80 day-use OR full overnight. Optional Munich city via S-Bahn. Airport by 21:00.</t>
        </is>
      </c>
      <c r="J31" s="2" t="n"/>
      <c r="K31" s="2" t="n"/>
    </row>
    <row r="32" ht="54.75" customHeight="1" s="38">
      <c r="A32" s="6" t="inlineStr">
        <is>
          <t>—</t>
        </is>
      </c>
      <c r="B32" s="6" t="inlineStr">
        <is>
          <t>Thu 6 Aug</t>
        </is>
      </c>
      <c r="C32" s="6" t="inlineStr">
        <is>
          <t>In transit 🇩🇪→🇨🇳</t>
        </is>
      </c>
      <c r="D32" s="6" t="inlineStr">
        <is>
          <t>Munich → Beijing</t>
        </is>
      </c>
      <c r="E32" s="6" t="inlineStr">
        <is>
          <t>—</t>
        </is>
      </c>
      <c r="F32" s="6" t="inlineStr">
        <is>
          <t>Munich → Beijing (CA962)</t>
        </is>
      </c>
      <c r="G32" s="6" t="inlineStr">
        <is>
          <t>✈ 9h 45m</t>
        </is>
      </c>
      <c r="H32" s="6" t="inlineStr">
        <is>
          <t>13:00 depart</t>
        </is>
      </c>
      <c r="I32" s="6" t="inlineStr">
        <is>
          <t>Check-in MUC T2 by 10:30, board 11:00. Land PEK 04:45 Fri 7 Aug. Rest ~3hrs. Great Wall at Mutianyu. Back T3 by 21:00.</t>
        </is>
      </c>
      <c r="J32" s="2" t="n"/>
      <c r="K32" s="2" t="n"/>
    </row>
    <row r="33" ht="54.75" customHeight="1" s="38">
      <c r="A33" s="6" t="inlineStr">
        <is>
          <t>—</t>
        </is>
      </c>
      <c r="B33" s="6" t="inlineStr">
        <is>
          <t>Sat 8 Aug</t>
        </is>
      </c>
      <c r="C33" s="6" t="inlineStr">
        <is>
          <t>New Zealand 🇳🇿</t>
        </is>
      </c>
      <c r="D33" s="6" t="inlineStr">
        <is>
          <t>Auckland 🏠</t>
        </is>
      </c>
      <c r="E33" s="6" t="inlineStr">
        <is>
          <t>—</t>
        </is>
      </c>
      <c r="F33" s="6" t="inlineStr">
        <is>
          <t>Beijing → Auckland (CA783)</t>
        </is>
      </c>
      <c r="G33" s="6" t="inlineStr">
        <is>
          <t>✈ 12h 25m</t>
        </is>
      </c>
      <c r="H33" s="6" t="inlineStr">
        <is>
          <t>00:05 depart PEK</t>
        </is>
      </c>
      <c r="I33" s="6" t="inlineStr">
        <is>
          <t>CA783 PEK 00:05 → AKL 16:30. 25 nights, 23 destinations, two Beijing stopovers, sister visit — welcome home.</t>
        </is>
      </c>
      <c r="J33" s="2" t="n"/>
      <c r="K33" s="2" t="n"/>
    </row>
    <row r="34" ht="15.75" customHeight="1" s="3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 ht="15.75" customHeight="1" s="38">
      <c r="A35" s="2" t="n"/>
      <c r="B35" s="2" t="n"/>
      <c r="C35" s="2" t="n"/>
      <c r="D35" s="2" t="n"/>
      <c r="E35" s="2" t="n"/>
      <c r="F35" s="2" t="n"/>
      <c r="G35" s="2" t="n"/>
      <c r="H35" s="2" t="n"/>
      <c r="I35" s="2" t="inlineStr">
        <is>
          <t>Muc-&gt;Lourdes</t>
        </is>
      </c>
      <c r="J35" s="17" t="n">
        <v>2150.93</v>
      </c>
      <c r="K35" s="2" t="n"/>
    </row>
    <row r="36" ht="15.75" customHeight="1" s="38">
      <c r="A36" s="2" t="n"/>
      <c r="B36" s="2" t="n"/>
      <c r="C36" s="2" t="n"/>
      <c r="D36" s="2" t="n"/>
      <c r="E36" s="2" t="n"/>
      <c r="F36" s="2" t="n"/>
      <c r="G36" s="2" t="n"/>
      <c r="H36" s="2" t="n"/>
      <c r="I36" s="2" t="inlineStr">
        <is>
          <t>Lourdes-&gt;Ams</t>
        </is>
      </c>
      <c r="J36" s="17" t="n">
        <v>1210.23</v>
      </c>
      <c r="K36" s="2" t="n"/>
    </row>
    <row r="37" ht="15.75" customHeight="1" s="38">
      <c r="A37" s="2" t="n"/>
      <c r="B37" s="2" t="n"/>
      <c r="C37" s="2" t="n"/>
      <c r="D37" s="2" t="n"/>
      <c r="E37" s="2" t="n"/>
      <c r="F37" s="2" t="n"/>
      <c r="G37" s="2" t="n"/>
      <c r="H37" s="2" t="n"/>
      <c r="I37" s="17" t="inlineStr">
        <is>
          <t>Lourds car rental</t>
        </is>
      </c>
      <c r="J37" s="17" t="n">
        <v>207.7</v>
      </c>
      <c r="K37" s="2" t="n"/>
    </row>
    <row r="38" ht="15.75" customHeight="1" s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 ht="15.75" customHeight="1" s="38">
      <c r="A39" s="2" t="n"/>
      <c r="B39" s="2" t="n"/>
      <c r="C39" s="2" t="n"/>
      <c r="D39" s="2" t="n"/>
      <c r="E39" s="2" t="n"/>
      <c r="F39" s="2" t="n"/>
      <c r="G39" s="2" t="n"/>
      <c r="H39" s="2" t="n"/>
      <c r="I39" s="17" t="inlineStr">
        <is>
          <t>Ams-&gt;Cop</t>
        </is>
      </c>
      <c r="J39" s="2" t="n"/>
      <c r="K39" s="2" t="n"/>
    </row>
    <row r="40" ht="15.75" customHeight="1" s="38">
      <c r="A40" s="2" t="n"/>
      <c r="B40" s="2" t="n"/>
      <c r="C40" s="2" t="n"/>
      <c r="D40" s="2" t="n"/>
      <c r="E40" s="2" t="n"/>
      <c r="F40" s="2" t="n"/>
      <c r="G40" s="2" t="n"/>
      <c r="H40" s="2" t="n"/>
      <c r="I40" s="2" t="inlineStr">
        <is>
          <t>Cop-&gt;Got</t>
        </is>
      </c>
      <c r="J40" s="2" t="n"/>
      <c r="K40" s="2" t="n"/>
    </row>
    <row r="41" ht="15.75" customHeight="1" s="38">
      <c r="A41" s="2" t="n"/>
      <c r="B41" s="2" t="n"/>
      <c r="C41" s="2" t="n"/>
      <c r="D41" s="2" t="n"/>
      <c r="E41" s="2" t="n"/>
      <c r="F41" s="2" t="n"/>
      <c r="G41" s="2" t="n"/>
      <c r="H41" s="2" t="n"/>
      <c r="I41" s="2" t="inlineStr">
        <is>
          <t>MainFlights</t>
        </is>
      </c>
      <c r="J41" s="18" t="n">
        <v>11560</v>
      </c>
      <c r="K41" s="2" t="n"/>
    </row>
    <row r="42" ht="15.75" customHeight="1" s="38">
      <c r="A42" s="2" t="n"/>
      <c r="B42" s="2" t="n"/>
      <c r="C42" s="2" t="n"/>
      <c r="D42" s="2" t="n"/>
      <c r="E42" s="2" t="n"/>
      <c r="F42" s="2" t="n"/>
      <c r="G42" s="2" t="n"/>
      <c r="H42" s="2" t="n"/>
      <c r="I42" s="2" t="inlineStr">
        <is>
          <t>Meals</t>
        </is>
      </c>
      <c r="J42" s="2">
        <f>150*28</f>
        <v/>
      </c>
      <c r="K42" s="2" t="n"/>
    </row>
    <row r="43" ht="15.75" customHeight="1" s="38">
      <c r="A43" s="2" t="n"/>
      <c r="B43" s="2" t="n"/>
      <c r="C43" s="2" t="n"/>
      <c r="D43" s="2" t="n"/>
      <c r="E43" s="2" t="n"/>
      <c r="F43" s="2" t="n"/>
      <c r="G43" s="2" t="n"/>
      <c r="H43" s="2" t="n"/>
      <c r="I43" s="2" t="inlineStr">
        <is>
          <t>Fuel</t>
        </is>
      </c>
      <c r="J43" s="2" t="n">
        <v>3000</v>
      </c>
      <c r="K43" s="2" t="n"/>
    </row>
    <row r="44" ht="15.75" customHeight="1" s="38">
      <c r="A44" s="2" t="n"/>
      <c r="B44" s="2" t="n"/>
      <c r="C44" s="2" t="n"/>
      <c r="D44" s="2" t="n"/>
      <c r="E44" s="2" t="n"/>
      <c r="F44" s="2" t="n"/>
      <c r="G44" s="2" t="n"/>
      <c r="H44" s="2" t="n"/>
      <c r="I44" s="19" t="inlineStr">
        <is>
          <t>Total</t>
        </is>
      </c>
      <c r="J44" s="19">
        <f>SUM(J4:J43)</f>
        <v/>
      </c>
      <c r="K44" s="2" t="n"/>
    </row>
    <row r="45" ht="15.75" customHeight="1" s="38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 ht="15.75" customHeight="1" s="38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 ht="15.75" customHeight="1" s="38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 ht="15.75" customHeight="1" s="3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 ht="15.75" customHeight="1" s="38">
      <c r="A49" s="2" t="n"/>
      <c r="B49" s="2" t="n"/>
      <c r="C49" s="2" t="n"/>
      <c r="D49" s="2" t="n"/>
      <c r="E49" s="2" t="n"/>
      <c r="F49" s="2" t="n"/>
      <c r="G49" s="2" t="n"/>
      <c r="H49" s="2" t="n"/>
      <c r="I49" s="2" t="inlineStr">
        <is>
          <t>Rental saving</t>
        </is>
      </c>
      <c r="J49" s="2" t="n">
        <v>5000</v>
      </c>
      <c r="K49" s="2" t="n"/>
    </row>
    <row r="50" ht="15.75" customHeight="1" s="38">
      <c r="A50" s="2" t="n"/>
      <c r="B50" s="2" t="n"/>
      <c r="C50" s="2" t="n"/>
      <c r="D50" s="2" t="n"/>
      <c r="E50" s="2" t="n"/>
      <c r="F50" s="2" t="n"/>
      <c r="G50" s="2" t="n"/>
      <c r="H50" s="2" t="n"/>
      <c r="I50" s="2" t="inlineStr">
        <is>
          <t>Cash back</t>
        </is>
      </c>
      <c r="J50" s="2" t="n">
        <v>11560</v>
      </c>
      <c r="K50" s="2" t="n"/>
    </row>
    <row r="51" ht="15.75" customHeight="1" s="38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 ht="15.75" customHeight="1" s="38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 ht="15.75" customHeight="1" s="38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 ht="15.75" customHeight="1" s="38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 ht="15.75" customHeight="1" s="38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 ht="15.75" customHeight="1" s="38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 ht="15.75" customHeight="1" s="38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 ht="15.75" customHeight="1" s="3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 ht="15.75" customHeight="1" s="38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 ht="15.75" customHeight="1" s="38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 ht="15.75" customHeight="1" s="38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 ht="15.75" customHeight="1" s="38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 ht="15.75" customHeight="1" s="38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 ht="15.75" customHeight="1" s="38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 ht="15.75" customHeight="1" s="38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 ht="15.75" customHeight="1" s="38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 ht="15.75" customHeight="1" s="38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 ht="15.75" customHeight="1" s="3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 ht="15.75" customHeight="1" s="38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 ht="15.75" customHeight="1" s="38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 ht="15.75" customHeight="1" s="38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 ht="15.75" customHeight="1" s="38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 ht="15.75" customHeight="1" s="38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 ht="15.75" customHeight="1" s="38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 ht="15.75" customHeight="1" s="38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 ht="15.75" customHeight="1" s="38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 ht="15.75" customHeight="1" s="38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 ht="15.75" customHeight="1" s="3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 ht="15.75" customHeight="1" s="38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 ht="15.75" customHeight="1" s="38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 ht="15.75" customHeight="1" s="38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 ht="15.75" customHeight="1" s="38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 ht="15.75" customHeight="1" s="38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 ht="15.75" customHeight="1" s="38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 ht="15.75" customHeight="1" s="38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 ht="15.75" customHeight="1" s="38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 ht="15.75" customHeight="1" s="38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 ht="15.75" customHeight="1" s="3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 ht="15.75" customHeight="1" s="38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 ht="15.75" customHeight="1" s="38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 ht="15.75" customHeight="1" s="38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 ht="15.75" customHeight="1" s="38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 ht="15.75" customHeight="1" s="38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 ht="15.75" customHeight="1" s="38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 ht="15.75" customHeight="1" s="38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 ht="15.75" customHeight="1" s="38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 ht="15.75" customHeight="1" s="38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 ht="15.75" customHeight="1" s="3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 ht="15.75" customHeight="1" s="38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mergeCells count="10">
    <mergeCell ref="A2:I2"/>
    <mergeCell ref="K8:K9"/>
    <mergeCell ref="J8:J9"/>
    <mergeCell ref="J15:J17"/>
    <mergeCell ref="J20:J21"/>
    <mergeCell ref="J12:J13"/>
    <mergeCell ref="A1:I1"/>
    <mergeCell ref="K12:K13"/>
    <mergeCell ref="J6:J7"/>
    <mergeCell ref="K6:K7"/>
  </mergeCells>
  <hyperlinks>
    <hyperlink xmlns:r="http://schemas.openxmlformats.org/officeDocument/2006/relationships" ref="E6" r:id="rId1"/>
    <hyperlink xmlns:r="http://schemas.openxmlformats.org/officeDocument/2006/relationships" ref="E7" r:id="rId2"/>
    <hyperlink xmlns:r="http://schemas.openxmlformats.org/officeDocument/2006/relationships" ref="E8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2" r:id="rId7"/>
    <hyperlink xmlns:r="http://schemas.openxmlformats.org/officeDocument/2006/relationships" ref="E13" r:id="rId8"/>
    <hyperlink xmlns:r="http://schemas.openxmlformats.org/officeDocument/2006/relationships" ref="E14" r:id="rId9"/>
    <hyperlink xmlns:r="http://schemas.openxmlformats.org/officeDocument/2006/relationships" ref="E15" r:id="rId10"/>
    <hyperlink xmlns:r="http://schemas.openxmlformats.org/officeDocument/2006/relationships" ref="E16" r:id="rId11"/>
    <hyperlink xmlns:r="http://schemas.openxmlformats.org/officeDocument/2006/relationships" ref="E17" r:id="rId12"/>
    <hyperlink xmlns:r="http://schemas.openxmlformats.org/officeDocument/2006/relationships" ref="E24" display="Chic Paris 15 Haven (Booking.com)" r:id="rId13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36" customWidth="1" style="38" min="1" max="1"/>
    <col width="38" customWidth="1" style="38" min="2" max="2"/>
    <col width="32" customWidth="1" style="38" min="3" max="3"/>
    <col width="50" customWidth="1" style="38" min="4" max="4"/>
    <col width="38" customWidth="1" style="38" min="5" max="5"/>
    <col width="8.710000000000001" customWidth="1" style="38" min="6" max="6"/>
  </cols>
  <sheetData>
    <row r="1" ht="31.5" customHeight="1" s="38">
      <c r="A1" s="20" t="inlineStr">
        <is>
          <t>⚠️ ALWAYS CONFIRM MASS TIMES NIGHT-BEFORE — parish websites listed per row · times shift seasonally + for special events</t>
        </is>
      </c>
      <c r="F1" s="2" t="n"/>
    </row>
    <row r="2" ht="15" customHeight="1" s="38">
      <c r="A2" s="21" t="inlineStr">
        <is>
          <t>⛪ MASS POLICY — Saturday Vigil PRIMARY (covers Sunday obligation) · Sunday options = BACKUP only if Sat Vigil missed</t>
        </is>
      </c>
      <c r="F2" s="2" t="n"/>
    </row>
    <row r="3">
      <c r="F3" s="2" t="n"/>
    </row>
    <row r="4" ht="15" customHeight="1" s="38">
      <c r="A4" s="22" t="inlineStr">
        <is>
          <t>Weekend / Option</t>
        </is>
      </c>
      <c r="B4" s="22" t="inlineStr">
        <is>
          <t>Church</t>
        </is>
      </c>
      <c r="C4" s="22" t="inlineStr">
        <is>
          <t>Where</t>
        </is>
      </c>
      <c r="D4" s="22" t="inlineStr">
        <is>
          <t>Notes</t>
        </is>
      </c>
      <c r="E4" s="23" t="inlineStr">
        <is>
          <t>Confirm URL / Phone</t>
        </is>
      </c>
      <c r="F4" s="2" t="n"/>
    </row>
    <row r="5" ht="49.5" customHeight="1" s="38">
      <c r="A5" s="24" t="inlineStr">
        <is>
          <t>11–12 Jul (Burg Altpernstein) — pick 1 of 4</t>
        </is>
      </c>
      <c r="F5" s="2" t="n"/>
    </row>
    <row r="6" ht="49.5" customHeight="1" s="38">
      <c r="A6" s="25" t="inlineStr">
        <is>
          <t xml:space="preserve">  ① Sat 11 Jul · 19:00 (PRIMARY)</t>
        </is>
      </c>
      <c r="B6" s="25" t="inlineStr">
        <is>
          <t>Stiftskirche Spital am Pyhrn</t>
        </is>
      </c>
      <c r="C6" s="25" t="inlineStr">
        <is>
          <t>~30 min south of castle</t>
        </is>
      </c>
      <c r="D6" s="25" t="inlineStr">
        <is>
          <t>PREFERRED if not jet-lagged · frees Sunday entirely</t>
        </is>
      </c>
      <c r="E6" s="25" t="inlineStr">
        <is>
          <t>pfarre-spital-pyhrn.at</t>
        </is>
      </c>
      <c r="F6" s="2" t="n"/>
    </row>
    <row r="7" ht="49.5" customHeight="1" s="38">
      <c r="A7" s="25" t="inlineStr">
        <is>
          <t xml:space="preserve">  ② Sun 12 Jul · 09:00 (BACKUP A)</t>
        </is>
      </c>
      <c r="B7" s="25" t="inlineStr">
        <is>
          <t>Stiftskirche Spital am Pyhrn</t>
        </is>
      </c>
      <c r="C7" s="25" t="inlineStr">
        <is>
          <t>~30 min south of castle</t>
        </is>
      </c>
      <c r="D7" s="25" t="inlineStr">
        <is>
          <t>If sleep needed, Mass before activities · early start required</t>
        </is>
      </c>
      <c r="E7" s="25" t="inlineStr">
        <is>
          <t>pfarre-spital-pyhrn.at</t>
        </is>
      </c>
      <c r="F7" s="2" t="n"/>
    </row>
    <row r="8">
      <c r="A8" s="25" t="inlineStr">
        <is>
          <t xml:space="preserve">  ③ Sun 12 Jul · 10:00/10:30 (BACKUP B)</t>
        </is>
      </c>
      <c r="B8" s="25" t="inlineStr">
        <is>
          <t>Catholic Pfarrkirche Mariä Himmelfahrt, Hallstatt</t>
        </is>
      </c>
      <c r="C8" s="25" t="inlineStr">
        <is>
          <t>~1.5 hrs · cliff church above village</t>
        </is>
      </c>
      <c r="D8" s="25" t="inlineStr">
        <is>
          <t>BEST if combining with Hallstatt day-trip · attend Mass first then Bone House + lakeside</t>
        </is>
      </c>
      <c r="E8" s="25" t="inlineStr">
        <is>
          <t>pfarre-hallstatt.at · +43 6134 8279</t>
        </is>
      </c>
      <c r="F8" s="2" t="n"/>
    </row>
    <row r="9">
      <c r="A9" s="3" t="inlineStr">
        <is>
          <t xml:space="preserve">  ④ Sat or Sun (BACKUP C, closest)</t>
        </is>
      </c>
      <c r="B9" s="25" t="inlineStr">
        <is>
          <t>Pfarrkirche Kirchdorf an der Krems</t>
        </is>
      </c>
      <c r="C9" s="25" t="inlineStr">
        <is>
          <t>5 min from castle</t>
        </is>
      </c>
      <c r="D9" s="25" t="inlineStr">
        <is>
          <t>Times not posted online · call to confirm</t>
        </is>
      </c>
      <c r="E9" s="25" t="inlineStr">
        <is>
          <t>+43 7582 62052</t>
        </is>
      </c>
      <c r="F9" s="2" t="n"/>
    </row>
    <row r="10">
      <c r="A10" s="24" t="inlineStr">
        <is>
          <t>18–19 Jul (Mestre/Florence)</t>
        </is>
      </c>
      <c r="F10" s="2" t="n"/>
    </row>
    <row r="11">
      <c r="A11" s="4" t="inlineStr">
        <is>
          <t xml:space="preserve">  Sat 18 Jul · 17:00 (PRIMARY)</t>
        </is>
      </c>
      <c r="B11" s="4" t="inlineStr">
        <is>
          <t>Basilica San Marco, Venice</t>
        </is>
      </c>
      <c r="C11" s="4" t="inlineStr">
        <is>
          <t>Heart of Venice islands · arrive 16:30</t>
        </is>
      </c>
      <c r="D11" s="4" t="inlineStr">
        <is>
          <t>ICONIC — incredible acoustics · Italian/Latin</t>
        </is>
      </c>
      <c r="E11" s="4" t="inlineStr">
        <is>
          <t>basilicasanmarco.it</t>
        </is>
      </c>
      <c r="F11" s="2" t="n"/>
    </row>
    <row r="12">
      <c r="A12" s="9" t="inlineStr">
        <is>
          <t xml:space="preserve">  Sun 19 Jul · 10:00 sung (BACKUP)</t>
        </is>
      </c>
      <c r="B12" s="25" t="inlineStr">
        <is>
          <t>Basilica di Sant'Antonio, Padua</t>
        </is>
      </c>
      <c r="C12" s="25" t="inlineStr">
        <is>
          <t>~30 min en route Mestre→Florence</t>
        </is>
      </c>
      <c r="D12" s="25" t="inlineStr">
        <is>
          <t>St Anthony's relics · combine with Padua sightseeing stop</t>
        </is>
      </c>
      <c r="E12" s="25" t="inlineStr">
        <is>
          <t>santantonio.org</t>
        </is>
      </c>
      <c r="F12" s="2" t="n"/>
    </row>
    <row r="13" ht="49.5" customHeight="1" s="38">
      <c r="A13" s="26" t="inlineStr">
        <is>
          <t>25–26 Jul (Moléson/Geneva)</t>
        </is>
      </c>
      <c r="B13" s="27" t="n"/>
      <c r="C13" s="27" t="n"/>
      <c r="D13" s="27" t="n"/>
      <c r="E13" s="28" t="n"/>
      <c r="F13" s="2" t="n"/>
    </row>
    <row r="14" ht="49.5" customHeight="1" s="38">
      <c r="A14" s="6" t="inlineStr">
        <is>
          <t xml:space="preserve">  Sat 25 Jul · 18:00 (PRIMARY)</t>
        </is>
      </c>
      <c r="B14" s="6" t="inlineStr">
        <is>
          <t>Église Saint-Théodule, Gruyères OR Saint-Pierre-aux-Liens, Bulle</t>
        </is>
      </c>
      <c r="C14" s="6" t="inlineStr">
        <is>
          <t>5 km / 8 km from Moléson hotel</t>
        </is>
      </c>
      <c r="D14" s="6" t="inlineStr">
        <is>
          <t>After Gornergrat morning + drive · arrive Moléson 16:00, leave for Mass 17:30</t>
        </is>
      </c>
      <c r="E14" s="6" t="inlineStr">
        <is>
          <t>paroissedegruyeres.ch · paroissecatholique-bulle.ch</t>
        </is>
      </c>
      <c r="F14" s="2" t="n"/>
    </row>
    <row r="15" ht="49.5" customHeight="1" s="38">
      <c r="A15" s="2" t="inlineStr">
        <is>
          <t xml:space="preserve">  Sun 26 Jul · 10:15 (BACKUP)</t>
        </is>
      </c>
      <c r="B15" s="2" t="inlineStr">
        <is>
          <t>Basilique Notre-Dame de Genève</t>
        </is>
      </c>
      <c r="C15" s="2" t="inlineStr">
        <is>
          <t>Pl. de Cornavin · part of Geneva day-trip</t>
        </is>
      </c>
      <c r="D15" s="2" t="inlineStr">
        <is>
          <t>Means leaving Moléson 08:30 (vs relaxed 10:00 sightseeing-only start)</t>
        </is>
      </c>
      <c r="E15" s="2" t="inlineStr">
        <is>
          <t>eglisecatholique-ge.ch · messesinfo.catholique.fr</t>
        </is>
      </c>
      <c r="F15" s="2" t="n"/>
    </row>
    <row r="16" ht="49.5" customHeight="1" s="38">
      <c r="A16" s="24" t="inlineStr">
        <is>
          <t>1–2 Aug (Belgium done Fri en route · Sat = AMS rest)</t>
        </is>
      </c>
      <c r="F16" s="2" t="n"/>
    </row>
    <row r="17" ht="49.5" customHeight="1" s="38">
      <c r="A17" s="25" t="inlineStr">
        <is>
          <t xml:space="preserve">  Sat 1 Aug · 17:00 (PRIMARY)</t>
        </is>
      </c>
      <c r="B17" s="25" t="inlineStr">
        <is>
          <t>Sint-Nicolaaskerk (Basilica of Saint Nicholas), Amsterdam</t>
        </is>
      </c>
      <c r="C17" s="25" t="inlineStr">
        <is>
          <t>Prins Hendrikkade 73 · opposite Centraal Station</t>
        </is>
      </c>
      <c r="D17" s="25" t="inlineStr">
        <is>
          <t>BELGIUM NOW DONE FRI EN ROUTE · Sat = AMS rest day · Vigil here covers Sun</t>
        </is>
      </c>
      <c r="E17" s="25" t="inlineStr">
        <is>
          <t>sintnicolaaskerk.nl · 020-624 8749</t>
        </is>
      </c>
      <c r="F17" s="2" t="n"/>
    </row>
    <row r="18">
      <c r="A18" s="25" t="inlineStr">
        <is>
          <t xml:space="preserve">  Sun 2 Aug · 10:30 (BACKUP)</t>
        </is>
      </c>
      <c r="B18" s="25" t="inlineStr">
        <is>
          <t>Sint-Nicolaaskerk (Basilica of Saint Nicholas), Amsterdam</t>
        </is>
      </c>
      <c r="C18" s="25" t="inlineStr">
        <is>
          <t>Prins Hendrikkade 73 · opposite Centraal Station</t>
        </is>
      </c>
      <c r="D18" s="25" t="inlineStr">
        <is>
          <t>Same church · would compress Sun morning brunch + flight prep</t>
        </is>
      </c>
      <c r="E18" s="25" t="inlineStr">
        <is>
          <t>sintnicolaaskerk.nl · 020-624 8749</t>
        </is>
      </c>
      <c r="F18" s="2" t="n"/>
    </row>
    <row r="19">
      <c r="A19" s="29" t="inlineStr">
        <is>
          <t>Catholic Mass — Rome (Auri apartment Vaticano · Aurelio)</t>
        </is>
      </c>
      <c r="B19" s="2" t="n"/>
      <c r="C19" s="2" t="n"/>
      <c r="D19" s="2" t="n"/>
      <c r="E19" s="2" t="n"/>
      <c r="F19" s="2" t="n"/>
    </row>
    <row r="20">
      <c r="A20" s="30" t="inlineStr">
        <is>
          <t>Days 10–12 (Mon 20 – Wed 22 Jul) · weekdays · daily Mass at major basilicas</t>
        </is>
      </c>
      <c r="B20" s="2" t="n"/>
      <c r="C20" s="2" t="n"/>
      <c r="D20" s="2" t="n"/>
      <c r="E20" s="2" t="n"/>
      <c r="F20" s="2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.75" customHeight="1" s="38">
      <c r="A22" s="31" t="inlineStr">
        <is>
          <t>Church</t>
        </is>
      </c>
      <c r="B22" s="2" t="n"/>
      <c r="C22" s="2" t="n"/>
      <c r="D22" s="2" t="n"/>
      <c r="E22" s="2" t="n"/>
      <c r="F22" s="2" t="n"/>
    </row>
    <row r="23" ht="39.75" customHeight="1" s="38">
      <c r="A23" s="6" t="inlineStr">
        <is>
          <t>St. Peter's Basilica</t>
        </is>
      </c>
      <c r="B23" s="2" t="n"/>
      <c r="C23" s="2" t="n"/>
      <c r="D23" s="2" t="n"/>
      <c r="E23" s="2" t="n"/>
      <c r="F23" s="2" t="n"/>
    </row>
    <row r="24" ht="39.75" customHeight="1" s="38">
      <c r="A24" s="6" t="inlineStr">
        <is>
          <t>Basilica of San Giovanni in Laterano</t>
        </is>
      </c>
      <c r="B24" s="6" t="inlineStr">
        <is>
          <t>Piazza San Giovanni · 00184 Roma</t>
        </is>
      </c>
      <c r="C24" s="6" t="inlineStr">
        <is>
          <t>~25 min via Cipro→San Giovanni (Line A)</t>
        </is>
      </c>
      <c r="D24" s="6" t="inlineStr">
        <is>
          <t>Daily Mass 18:00 (Italian) · Sun 10:30</t>
        </is>
      </c>
      <c r="E24" s="6" t="inlineStr">
        <is>
          <t>CATHEDRAL OF ROME — Pope's actual cathedral. Visit Day 11 evening or Day 12 early.</t>
        </is>
      </c>
      <c r="F24" s="2" t="n"/>
    </row>
    <row r="25" ht="39.75" customHeight="1" s="38">
      <c r="A25" s="6" t="inlineStr">
        <is>
          <t>Basilica di Santa Maria Maggiore</t>
        </is>
      </c>
      <c r="B25" s="27" t="n"/>
      <c r="C25" s="27" t="n"/>
      <c r="D25" s="27" t="n"/>
      <c r="E25" s="28" t="n"/>
      <c r="F25" s="2" t="n"/>
    </row>
    <row r="26" ht="15.75" customHeight="1" s="38">
      <c r="A26" s="6" t="inlineStr">
        <is>
          <t>Basilica di San Paolo fuori le Mura</t>
        </is>
      </c>
      <c r="B26" s="27" t="n"/>
      <c r="C26" s="27" t="n"/>
      <c r="D26" s="27" t="n"/>
      <c r="E26" s="28" t="n"/>
      <c r="F26" s="2" t="n"/>
    </row>
    <row r="27" ht="15.75" customHeight="1" s="38">
      <c r="A27" s="6" t="inlineStr">
        <is>
          <t>Chiesa di Santa Maria del Rosario in Prati</t>
        </is>
      </c>
      <c r="B27" s="6" t="inlineStr">
        <is>
          <t>Via degli Scipioni 6 · 00192 Roma</t>
        </is>
      </c>
      <c r="C27" s="6" t="inlineStr">
        <is>
          <t>~12 min walk</t>
        </is>
      </c>
      <c r="D27" s="6" t="inlineStr">
        <is>
          <t>Confirm with parish · weekday Masses typically 07:00, 18:30</t>
        </is>
      </c>
      <c r="E27" s="6" t="inlineStr">
        <is>
          <t>Closest Catholic church to hotel · Italian neighbourhood parish</t>
        </is>
      </c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9" t="inlineStr">
        <is>
          <t>Catholic Mass — Florence (Sun 19 Jul)</t>
        </is>
      </c>
      <c r="B29" s="2" t="n"/>
      <c r="C29" s="2" t="n"/>
      <c r="D29" s="2" t="n"/>
      <c r="E29" s="2" t="n"/>
      <c r="F29" s="2" t="n"/>
    </row>
    <row r="30" ht="15.75" customHeight="1" s="38">
      <c r="A30" s="30" t="inlineStr">
        <is>
          <t>Day 9 (Sun 19 Jul) · evening Mass after arrival from Mestre</t>
        </is>
      </c>
      <c r="B30" s="2" t="n"/>
      <c r="C30" s="2" t="n"/>
      <c r="D30" s="2" t="n"/>
      <c r="E30" s="2" t="n"/>
      <c r="F30" s="2" t="n"/>
    </row>
    <row r="31" ht="49.5" customHeight="1" s="38">
      <c r="A31" s="2" t="n"/>
      <c r="B31" s="2" t="n"/>
      <c r="C31" s="2" t="n"/>
      <c r="D31" s="2" t="n"/>
      <c r="E31" s="2" t="n"/>
      <c r="F31" s="2" t="n"/>
    </row>
    <row r="32" ht="49.5" customHeight="1" s="38">
      <c r="A32" s="31" t="inlineStr">
        <is>
          <t>Church</t>
        </is>
      </c>
      <c r="B32" s="31" t="inlineStr">
        <is>
          <t>Where</t>
        </is>
      </c>
      <c r="C32" s="31" t="inlineStr">
        <is>
          <t>From Garden Blue</t>
        </is>
      </c>
      <c r="D32" s="31" t="inlineStr">
        <is>
          <t>Mass times</t>
        </is>
      </c>
      <c r="E32" s="31" t="inlineStr">
        <is>
          <t>Phone / Notes</t>
        </is>
      </c>
      <c r="F32" s="2" t="n"/>
    </row>
    <row r="33" ht="15.75" customHeight="1" s="38">
      <c r="A33" s="6" t="inlineStr">
        <is>
          <t>Basilica of Santa Croce</t>
        </is>
      </c>
      <c r="B33" s="27" t="n"/>
      <c r="C33" s="27" t="n"/>
      <c r="D33" s="27" t="n"/>
      <c r="E33" s="28" t="n"/>
      <c r="F33" s="2" t="n"/>
    </row>
    <row r="34" ht="15.75" customHeight="1" s="38">
      <c r="A34" s="6" t="inlineStr">
        <is>
          <t>Cathedral (Duomo · Santa Maria del Fiore)</t>
        </is>
      </c>
      <c r="B34" s="27" t="n"/>
      <c r="C34" s="27" t="n"/>
      <c r="D34" s="27" t="n"/>
      <c r="E34" s="28" t="n"/>
      <c r="F34" s="2" t="n"/>
    </row>
    <row r="35" ht="15.75" customHeight="1" s="38">
      <c r="A35" s="6" t="inlineStr">
        <is>
          <t>Basilica di Santa Maria Novella</t>
        </is>
      </c>
      <c r="B35" s="6" t="inlineStr">
        <is>
          <t>Piazza Santa Maria Novella · near train station</t>
        </is>
      </c>
      <c r="C35" s="6" t="inlineStr">
        <is>
          <t>~20 min walk</t>
        </is>
      </c>
      <c r="D35" s="6" t="inlineStr">
        <is>
          <t>Sun 10:30, 12:00, 18:00</t>
        </is>
      </c>
      <c r="E35" s="6" t="inlineStr">
        <is>
          <t>Convenient if dining downtown</t>
        </is>
      </c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9" t="inlineStr">
        <is>
          <t>Catholic Mass — Budapest (Thu 16 / Fri 17 Jul)</t>
        </is>
      </c>
      <c r="B37" s="2" t="n"/>
      <c r="C37" s="2" t="n"/>
      <c r="D37" s="2" t="n"/>
      <c r="E37" s="2" t="n"/>
      <c r="F37" s="2" t="n"/>
    </row>
    <row r="38" ht="15.75" customHeight="1" s="38">
      <c r="A38" s="30" t="inlineStr">
        <is>
          <t>Day 6 (Thu 16 Jul evening) or Day 7 (Fri 17 Jul early) · weekday daily Mass options</t>
        </is>
      </c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31" t="inlineStr">
        <is>
          <t>Church</t>
        </is>
      </c>
      <c r="B40" s="31" t="inlineStr">
        <is>
          <t>Where</t>
        </is>
      </c>
      <c r="C40" s="31" t="inlineStr">
        <is>
          <t>From City Home</t>
        </is>
      </c>
      <c r="D40" s="31" t="inlineStr">
        <is>
          <t>Mass times</t>
        </is>
      </c>
      <c r="E40" s="31" t="inlineStr">
        <is>
          <t>Phone / Notes</t>
        </is>
      </c>
      <c r="F40" s="2" t="n"/>
    </row>
    <row r="41" ht="15.75" customHeight="1" s="38">
      <c r="A41" s="6" t="inlineStr">
        <is>
          <t>St. Stephen's Basilica</t>
        </is>
      </c>
      <c r="B41" s="6" t="inlineStr">
        <is>
          <t>Szent István tér 1 · 1051 Budapest</t>
        </is>
      </c>
      <c r="C41" s="6" t="inlineStr">
        <is>
          <t>~15 min walk</t>
        </is>
      </c>
      <c r="D41" s="6" t="inlineStr">
        <is>
          <t>Daily 07:00, 08:00, 18:00 · Sat vigil 18:00 · Sun 08:30, 10:00, 12:00, 18:00</t>
        </is>
      </c>
      <c r="E41" s="6" t="inlineStr">
        <is>
          <t>Hungary's holiest church · best option for the trip</t>
        </is>
      </c>
      <c r="F41" s="2" t="n"/>
    </row>
    <row r="42" ht="15.75" customHeight="1" s="38">
      <c r="A42" s="6" t="inlineStr">
        <is>
          <t>Matthias Church (Mátyás-templom)</t>
        </is>
      </c>
      <c r="B42" s="6" t="inlineStr">
        <is>
          <t>Szentháromság tér 2 · Castle Hill</t>
        </is>
      </c>
      <c r="C42" s="6" t="inlineStr">
        <is>
          <t>~25 min via Castle Hill</t>
        </is>
      </c>
      <c r="D42" s="6" t="inlineStr">
        <is>
          <t>Sun 07:00, 08:30, 10:00 (sung), 12:00, 18:00 · weekdays 07:00, 18:00</t>
        </is>
      </c>
      <c r="E42" s="6" t="inlineStr">
        <is>
          <t>Combine with Castle Hill visit · 700-year-old church</t>
        </is>
      </c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inlineStr">
        <is>
          <t>Catholic Mass — Geneva (Sun 26 Jul · Day 16)</t>
        </is>
      </c>
      <c r="B44" s="2" t="n"/>
      <c r="C44" s="2" t="n"/>
      <c r="D44" s="2" t="n"/>
      <c r="E44" s="2" t="n"/>
      <c r="F44" s="2" t="n"/>
    </row>
    <row r="45" ht="15.75" customHeight="1" s="38">
      <c r="A45" s="2" t="inlineStr">
        <is>
          <t>Day trip from Moléson · Sunday Mass + Geneva sightseeing</t>
        </is>
      </c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inlineStr">
        <is>
          <t>Church</t>
        </is>
      </c>
      <c r="B47" s="2" t="inlineStr">
        <is>
          <t>Where</t>
        </is>
      </c>
      <c r="C47" s="2" t="inlineStr">
        <is>
          <t>From Moléson</t>
        </is>
      </c>
      <c r="D47" s="2" t="inlineStr">
        <is>
          <t>Mass times</t>
        </is>
      </c>
      <c r="E47" s="2" t="inlineStr">
        <is>
          <t>Phone / Notes</t>
        </is>
      </c>
      <c r="F47" s="2" t="n"/>
    </row>
    <row r="48" ht="15.75" customHeight="1" s="38">
      <c r="A48" s="2" t="inlineStr">
        <is>
          <t>Basilique Notre-Dame de Genève</t>
        </is>
      </c>
      <c r="B48" s="2" t="inlineStr">
        <is>
          <t>Pl. de Cornavin, 1201 Geneva</t>
        </is>
      </c>
      <c r="C48" s="2" t="inlineStr">
        <is>
          <t>~80 km / 1h 15min drive</t>
        </is>
      </c>
      <c r="D48" s="2" t="inlineStr">
        <is>
          <t>Sun 7:30 · 9:00 · 10:15 · 11:30 · 17:00 · 19:00 (English) · 20:30</t>
        </is>
      </c>
      <c r="E48" s="2" t="inlineStr">
        <is>
          <t>RECOMMENDED — main Catholic church in Geneva, by Cornavin train station, easy parking. 10:15 best with kids (leave Moléson 8:30).</t>
        </is>
      </c>
      <c r="F48" s="2" t="n"/>
    </row>
    <row r="49" ht="15.75" customHeight="1" s="38">
      <c r="A49" s="2" t="inlineStr">
        <is>
          <t>Église du Sacré-Cœur</t>
        </is>
      </c>
      <c r="B49" s="2" t="inlineStr">
        <is>
          <t>Plainpalais area, Geneva</t>
        </is>
      </c>
      <c r="C49" s="2" t="inlineStr">
        <is>
          <t>~80 km</t>
        </is>
      </c>
      <c r="D49" s="2" t="inlineStr">
        <is>
          <t>Sun 10:00, 11:30 (typically — confirm)</t>
        </is>
      </c>
      <c r="E49" s="2" t="inlineStr">
        <is>
          <t>Backup option · less central than Notre-Dame</t>
        </is>
      </c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inlineStr">
        <is>
          <t>Catholic Mass — Lourdes Sanctuary (Tue 28 / Wed 29 Jul)</t>
        </is>
      </c>
      <c r="B52" s="2" t="n"/>
      <c r="C52" s="2" t="n"/>
      <c r="D52" s="2" t="n"/>
      <c r="E52" s="2" t="n"/>
      <c r="F52" s="2" t="n"/>
    </row>
    <row r="53" ht="15.75" customHeight="1" s="38">
      <c r="A53" s="2" t="inlineStr">
        <is>
          <t>Day 18 Tue Torch Procession + daily Masses at the Sanctuary</t>
        </is>
      </c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inlineStr">
        <is>
          <t>Church / Site</t>
        </is>
      </c>
      <c r="B55" s="2" t="inlineStr">
        <is>
          <t>Where</t>
        </is>
      </c>
      <c r="C55" s="2" t="inlineStr">
        <is>
          <t>When</t>
        </is>
      </c>
      <c r="D55" s="2" t="inlineStr">
        <is>
          <t>Notes</t>
        </is>
      </c>
      <c r="E55" s="2" t="n"/>
      <c r="F55" s="2" t="n"/>
    </row>
    <row r="56" ht="15.75" customHeight="1" s="38">
      <c r="A56" s="2" t="inlineStr">
        <is>
          <t>🕯️ Torch Procession (Procession Mariale aux Flambeaux)</t>
        </is>
      </c>
      <c r="B56" s="2" t="inlineStr">
        <is>
          <t>Esplanade · meet at Crowned Statue · ends at Rosary Basilica</t>
        </is>
      </c>
      <c r="C56" s="2" t="inlineStr">
        <is>
          <t>Daily 21:00 (summer)</t>
        </is>
      </c>
      <c r="D56" s="2" t="inlineStr">
        <is>
          <t>Iconic Lourdes moment · candles ~€3-5 · ~1 hr · Salve Regina at Rosary Basilica</t>
        </is>
      </c>
      <c r="E56" s="2" t="n"/>
      <c r="F56" s="2" t="n"/>
    </row>
    <row r="57" ht="15.75" customHeight="1" s="38">
      <c r="A57" s="2" t="inlineStr">
        <is>
          <t>Basilica of the Rosary (Basilique Notre-Dame du Rosaire)</t>
        </is>
      </c>
      <c r="B57" s="2" t="inlineStr">
        <is>
          <t>Sanctuary · lower basilica with iconic dome</t>
        </is>
      </c>
      <c r="C57" s="2" t="inlineStr">
        <is>
          <t>Daily Masses many languages</t>
        </is>
      </c>
      <c r="D57" s="2" t="inlineStr">
        <is>
          <t>Procession ends here</t>
        </is>
      </c>
      <c r="E57" s="2" t="n"/>
      <c r="F57" s="2" t="n"/>
    </row>
    <row r="58" ht="15.75" customHeight="1" s="38">
      <c r="A58" s="2" t="inlineStr">
        <is>
          <t>Underground Basilica of St Pius X</t>
        </is>
      </c>
      <c r="B58" s="2" t="inlineStr">
        <is>
          <t>Sanctuary · underground · 25,000 capacity</t>
        </is>
      </c>
      <c r="C58" s="2" t="inlineStr">
        <is>
          <t>Sun morning International Mass (multilingual incl English)</t>
        </is>
      </c>
      <c r="D58" s="2" t="inlineStr">
        <is>
          <t>Largest space in Sanctuary</t>
        </is>
      </c>
      <c r="E58" s="2" t="n"/>
      <c r="F58" s="2" t="n"/>
    </row>
    <row r="59" ht="15.75" customHeight="1" s="38">
      <c r="A59" s="2" t="inlineStr">
        <is>
          <t>Grotto of Massabielle (apparition site)</t>
        </is>
      </c>
      <c r="B59" s="2" t="inlineStr">
        <is>
          <t>Sanctuary · river bank</t>
        </is>
      </c>
      <c r="C59" s="2" t="inlineStr">
        <is>
          <t>Open 24/7 · light candles anytime</t>
        </is>
      </c>
      <c r="D59" s="2" t="inlineStr">
        <is>
          <t>The actual apparition cave · sacred water taps</t>
        </is>
      </c>
      <c r="E59" s="2" t="n"/>
      <c r="F59" s="2" t="n"/>
    </row>
    <row r="60" ht="15.75" customHeight="1" s="38">
      <c r="A60" s="2" t="inlineStr">
        <is>
          <t>Church of St Bernadette (Église Sainte-Bernadette)</t>
        </is>
      </c>
      <c r="B60" s="2" t="inlineStr">
        <is>
          <t>Across the river Gave · modern church</t>
        </is>
      </c>
      <c r="C60" s="2" t="inlineStr">
        <is>
          <t>Sun ~09:30 International Mass</t>
        </is>
      </c>
      <c r="D60" s="2" t="inlineStr">
        <is>
          <t>Built 1988 · across from Grotto · large overflow space</t>
        </is>
      </c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inlineStr">
        <is>
          <t>Catholic Mass — Caen / Bayeux (Sat 1 Aug Vigil — note: now in Belgium day-trip plan)</t>
        </is>
      </c>
      <c r="B62" s="2" t="n"/>
      <c r="C62" s="2" t="n"/>
      <c r="D62" s="2" t="n"/>
      <c r="E62" s="2" t="n"/>
      <c r="F62" s="2" t="n"/>
    </row>
    <row r="63" ht="15.75" customHeight="1" s="38">
      <c r="A63" s="2" t="inlineStr">
        <is>
          <t>Days 20–21 Caen overnight · Sat Vigil now mostly via Bruges/AMS due to revised plan</t>
        </is>
      </c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inlineStr">
        <is>
          <t>Church</t>
        </is>
      </c>
      <c r="B65" s="2" t="inlineStr">
        <is>
          <t>Where</t>
        </is>
      </c>
      <c r="C65" s="2" t="inlineStr">
        <is>
          <t>When</t>
        </is>
      </c>
      <c r="D65" s="2" t="inlineStr">
        <is>
          <t>Notes</t>
        </is>
      </c>
      <c r="E65" s="2" t="n"/>
      <c r="F65" s="2" t="n"/>
    </row>
    <row r="66" ht="15.75" customHeight="1" s="38">
      <c r="A66" s="2" t="inlineStr">
        <is>
          <t>Cathédrale Notre-Dame de Bayeux</t>
        </is>
      </c>
      <c r="B66" s="2" t="inlineStr">
        <is>
          <t>Bayeux · 30 km west of Caen</t>
        </is>
      </c>
      <c r="C66" s="2" t="inlineStr">
        <is>
          <t>Sat Vigil ~18:30</t>
        </is>
      </c>
      <c r="D66" s="2" t="inlineStr">
        <is>
          <t>Combine with Tapestry visit · medieval Norman cathedral</t>
        </is>
      </c>
      <c r="E66" s="2" t="n"/>
      <c r="F66" s="2" t="n"/>
    </row>
    <row r="67" ht="15.75" customHeight="1" s="38">
      <c r="A67" s="2" t="inlineStr">
        <is>
          <t>Église Saint-Pierre de Caen</t>
        </is>
      </c>
      <c r="B67" s="2" t="inlineStr">
        <is>
          <t>Caen city centre · gothic</t>
        </is>
      </c>
      <c r="C67" s="2" t="inlineStr">
        <is>
          <t>Sat Vigil ~18:30</t>
        </is>
      </c>
      <c r="D67" s="2" t="inlineStr">
        <is>
          <t>Downtown Caen · easy access from hotel</t>
        </is>
      </c>
      <c r="E67" s="2" t="n"/>
      <c r="F67" s="2" t="n"/>
    </row>
    <row r="68" ht="15.75" customHeight="1" s="38">
      <c r="A68" s="2" t="inlineStr">
        <is>
          <t>Abbaye aux Hommes (Église Saint-Étienne)</t>
        </is>
      </c>
      <c r="B68" s="2" t="inlineStr">
        <is>
          <t>Caen · William the Conqueror's church</t>
        </is>
      </c>
      <c r="C68" s="2" t="inlineStr">
        <is>
          <t>Sat Vigil ~18:30</t>
        </is>
      </c>
      <c r="D68" s="2" t="inlineStr">
        <is>
          <t>Historic abbey church · WWII shelter site</t>
        </is>
      </c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inlineStr">
        <is>
          <t>Catholic Mass — Belgium day-trip (Sat 1 Aug Vigil)</t>
        </is>
      </c>
      <c r="B70" s="2" t="n"/>
      <c r="C70" s="2" t="n"/>
      <c r="D70" s="2" t="n"/>
      <c r="E70" s="2" t="n"/>
      <c r="F70" s="2" t="n"/>
    </row>
    <row r="71" ht="15.75" customHeight="1" s="38">
      <c r="A71" s="2" t="inlineStr">
        <is>
          <t>Day 22 Sat — Belgium day-trip from AMS</t>
        </is>
      </c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inlineStr">
        <is>
          <t>Church</t>
        </is>
      </c>
      <c r="B73" s="2" t="inlineStr">
        <is>
          <t>Where</t>
        </is>
      </c>
      <c r="C73" s="2" t="inlineStr">
        <is>
          <t>When</t>
        </is>
      </c>
      <c r="D73" s="2" t="inlineStr">
        <is>
          <t>Notes</t>
        </is>
      </c>
      <c r="E73" s="2" t="n"/>
      <c r="F73" s="2" t="n"/>
    </row>
    <row r="74" ht="15.75" customHeight="1" s="38">
      <c r="A74" s="2" t="inlineStr">
        <is>
          <t>🇧🇪 Heilig-Bloedbasiliek (Basilica of the Holy Blood)</t>
        </is>
      </c>
      <c r="B74" s="2" t="inlineStr">
        <is>
          <t>Burg 13, 8000 Brugge · in the Burg Square</t>
        </is>
      </c>
      <c r="C74" s="2" t="inlineStr">
        <is>
          <t>Sat Vigil ~18:30 typical</t>
        </is>
      </c>
      <c r="D74" s="2" t="inlineStr">
        <is>
          <t>BEST option if staying late in Bruges · stunning basilica</t>
        </is>
      </c>
      <c r="E74" s="2" t="n"/>
      <c r="F74" s="2" t="n"/>
    </row>
    <row r="75" ht="15.75" customHeight="1" s="38">
      <c r="A75" s="2" t="inlineStr">
        <is>
          <t>🇧🇪 Onze-Lieve-Vrouwekerk (Church of Our Lady)</t>
        </is>
      </c>
      <c r="B75" s="2" t="inlineStr">
        <is>
          <t>Mariastraat, Bruges</t>
        </is>
      </c>
      <c r="C75" s="2" t="inlineStr">
        <is>
          <t>Various Masses</t>
        </is>
      </c>
      <c r="D75" s="2" t="inlineStr">
        <is>
          <t>Has Michelangelo's Madonna and Child</t>
        </is>
      </c>
      <c r="E75" s="2" t="n"/>
      <c r="F75" s="2" t="n"/>
    </row>
    <row r="76" ht="15.75" customHeight="1" s="38">
      <c r="A76" s="2" t="inlineStr">
        <is>
          <t>🇧🇪 Cathedral of St Michael and St Gudula</t>
        </is>
      </c>
      <c r="B76" s="2" t="inlineStr">
        <is>
          <t>Place Sainte-Gudule, Brussels</t>
        </is>
      </c>
      <c r="C76" s="2" t="inlineStr">
        <is>
          <t>Sat Vigil ~18:00</t>
        </is>
      </c>
      <c r="D76" s="2" t="inlineStr">
        <is>
          <t>If returning via Brussels later in day</t>
        </is>
      </c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inlineStr">
        <is>
          <t>Catholic Mass — Amsterdam (Sat 1 / Sun 2 Aug)</t>
        </is>
      </c>
      <c r="B78" s="2" t="n"/>
      <c r="C78" s="2" t="n"/>
      <c r="D78" s="2" t="n"/>
      <c r="E78" s="2" t="n"/>
      <c r="F78" s="2" t="n"/>
    </row>
    <row r="79" ht="15.75" customHeight="1" s="38">
      <c r="A79" s="2" t="inlineStr">
        <is>
          <t>Day 22 Sat Vigil OR Day 23 Sun morning before CPH flight</t>
        </is>
      </c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inlineStr">
        <is>
          <t>Church</t>
        </is>
      </c>
      <c r="B81" s="2" t="inlineStr">
        <is>
          <t>Where</t>
        </is>
      </c>
      <c r="C81" s="2" t="inlineStr">
        <is>
          <t>When</t>
        </is>
      </c>
      <c r="D81" s="2" t="inlineStr">
        <is>
          <t>Notes</t>
        </is>
      </c>
      <c r="E81" s="2" t="n"/>
      <c r="F81" s="2" t="n"/>
    </row>
    <row r="82" ht="15.75" customHeight="1" s="38">
      <c r="A82" s="2" t="inlineStr">
        <is>
          <t>Sint-Nicolaaskerk (Basilica of Saint Nicholas)</t>
        </is>
      </c>
      <c r="B82" s="2" t="inlineStr">
        <is>
          <t>Prins Hendrikkade 73, 1012 AD Amsterdam · opposite Centraal Station</t>
        </is>
      </c>
      <c r="C82" s="2" t="inlineStr">
        <is>
          <t>Sat Vigil ~17:00 · Sun ~10:30 (English Mass option)</t>
        </is>
      </c>
      <c r="D82" s="2" t="inlineStr">
        <is>
          <t>PERFECT for Sun 2 Aug morning before CPH evening flight</t>
        </is>
      </c>
      <c r="E82" s="2" t="n"/>
      <c r="F82" s="2" t="n"/>
    </row>
    <row r="83" ht="15.75" customHeight="1" s="38">
      <c r="A83" s="2" t="inlineStr">
        <is>
          <t>De Krijtberg (Sint Franciscus Xaverius)</t>
        </is>
      </c>
      <c r="B83" s="2" t="inlineStr">
        <is>
          <t>Singel 448, Amsterdam</t>
        </is>
      </c>
      <c r="C83" s="2" t="inlineStr">
        <is>
          <t>Sun various</t>
        </is>
      </c>
      <c r="D83" s="2" t="inlineStr">
        <is>
          <t>Jesuit church · central canal location</t>
        </is>
      </c>
      <c r="E83" s="2" t="n"/>
      <c r="F83" s="2" t="n"/>
    </row>
    <row r="84" ht="15.75" customHeight="1" s="38">
      <c r="A84" s="2" t="inlineStr">
        <is>
          <t>Begijnhof Chapel</t>
        </is>
      </c>
      <c r="B84" s="2" t="inlineStr">
        <is>
          <t>Begijnhof 30, Amsterdam</t>
        </is>
      </c>
      <c r="C84" s="2" t="inlineStr">
        <is>
          <t>Sun various</t>
        </is>
      </c>
      <c r="D84" s="2" t="inlineStr">
        <is>
          <t>Hidden chapel in famous courtyard</t>
        </is>
      </c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8" min="1" max="1"/>
    <col width="38" customWidth="1" style="38" min="2" max="2"/>
    <col width="10" customWidth="1" style="38" min="3" max="3"/>
    <col width="50" customWidth="1" style="38" min="4" max="4"/>
    <col width="26" customWidth="1" style="38" min="5" max="5"/>
    <col width="8.710000000000001" customWidth="1" style="38" min="6" max="6"/>
  </cols>
  <sheetData>
    <row r="1" ht="24" customHeight="1" s="38">
      <c r="A1" s="1" t="inlineStr">
        <is>
          <t>Transit — every journey</t>
        </is>
      </c>
      <c r="F1" s="2" t="n"/>
    </row>
    <row r="2" ht="18" customHeight="1" s="38">
      <c r="A2" s="3" t="inlineStr">
        <is>
          <t>Modes · times with traffic buffer · departure cues</t>
        </is>
      </c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Date</t>
        </is>
      </c>
      <c r="B4" s="4" t="inlineStr">
        <is>
          <t>Leg</t>
        </is>
      </c>
      <c r="C4" s="4" t="inlineStr">
        <is>
          <t>Mode</t>
        </is>
      </c>
      <c r="D4" s="4" t="inlineStr">
        <is>
          <t>Time</t>
        </is>
      </c>
      <c r="E4" s="4" t="inlineStr">
        <is>
          <t>Start</t>
        </is>
      </c>
      <c r="F4" s="2" t="n"/>
    </row>
    <row r="5" ht="15" customHeight="1" s="38">
      <c r="A5" s="6" t="inlineStr">
        <is>
          <t>Thu 9 Jul</t>
        </is>
      </c>
      <c r="B5" s="6" t="inlineStr">
        <is>
          <t>Auckland → Beijing CA784</t>
        </is>
      </c>
      <c r="C5" s="6" t="inlineStr">
        <is>
          <t>✈</t>
        </is>
      </c>
      <c r="D5" s="6" t="inlineStr">
        <is>
          <t>Dep 19:30 → Arr 04:40 Fri 10 Jul</t>
        </is>
      </c>
      <c r="E5" s="6" t="inlineStr">
        <is>
          <t>—</t>
        </is>
      </c>
      <c r="F5" s="2" t="n"/>
    </row>
    <row r="6" ht="15" customHeight="1" s="38">
      <c r="A6" s="6" t="inlineStr">
        <is>
          <t>Sat 11 Jul</t>
        </is>
      </c>
      <c r="B6" s="6" t="inlineStr">
        <is>
          <t>Beijing → Munich CA961</t>
        </is>
      </c>
      <c r="C6" s="6" t="inlineStr">
        <is>
          <t>✈</t>
        </is>
      </c>
      <c r="D6" s="6" t="inlineStr">
        <is>
          <t>Dep 02:50 → Arr 07:05</t>
        </is>
      </c>
      <c r="E6" s="6" t="inlineStr">
        <is>
          <t>Collect car ~09:00</t>
        </is>
      </c>
      <c r="F6" s="2" t="n"/>
    </row>
    <row r="7" ht="15" customHeight="1" s="38">
      <c r="A7" s="6" t="inlineStr">
        <is>
          <t>Sat 11 Jul</t>
        </is>
      </c>
      <c r="B7" s="6" t="inlineStr">
        <is>
          <t>Munich Airport → Burg Altpernstein, Austria</t>
        </is>
      </c>
      <c r="C7" s="6" t="inlineStr">
        <is>
          <t>🚗</t>
        </is>
      </c>
      <c r="D7" s="6" t="inlineStr">
        <is>
          <t>~290 km · ~3 hrs</t>
        </is>
      </c>
      <c r="E7" s="6" t="inlineStr">
        <is>
          <t>~10:00 (after car pickup)</t>
        </is>
      </c>
      <c r="F7" s="2" t="n"/>
    </row>
    <row r="8" ht="15" customHeight="1" s="38">
      <c r="A8" s="9" t="inlineStr">
        <is>
          <t>Mon 13 Jul</t>
        </is>
      </c>
      <c r="B8" s="9" t="inlineStr">
        <is>
          <t>Burg Altpernstein → Prague</t>
        </is>
      </c>
      <c r="C8" s="9" t="inlineStr">
        <is>
          <t>🚗</t>
        </is>
      </c>
      <c r="D8" s="9" t="inlineStr">
        <is>
          <t>~430 km · 4.5–5 hrs</t>
        </is>
      </c>
      <c r="E8" s="9" t="inlineStr">
        <is>
          <t>08:00</t>
        </is>
      </c>
      <c r="F8" s="2" t="n"/>
    </row>
    <row r="9" ht="15" customHeight="1" s="38">
      <c r="A9" s="6" t="inlineStr">
        <is>
          <t>Wed 15 Jul</t>
        </is>
      </c>
      <c r="B9" s="6" t="inlineStr">
        <is>
          <t>Prague → Vienna</t>
        </is>
      </c>
      <c r="C9" s="6" t="inlineStr">
        <is>
          <t>🚗</t>
        </is>
      </c>
      <c r="D9" s="6" t="inlineStr">
        <is>
          <t>~320 km · 3.5–4 hrs</t>
        </is>
      </c>
      <c r="E9" s="6" t="inlineStr">
        <is>
          <t>11:00 (after castle)</t>
        </is>
      </c>
      <c r="F9" s="2" t="n"/>
    </row>
    <row r="10" ht="15" customHeight="1" s="38">
      <c r="A10" s="6" t="inlineStr">
        <is>
          <t>Thu 16 Jul</t>
        </is>
      </c>
      <c r="B10" s="6" t="inlineStr">
        <is>
          <t>Vienna → Budapest</t>
        </is>
      </c>
      <c r="C10" s="6" t="inlineStr">
        <is>
          <t>🚗</t>
        </is>
      </c>
      <c r="D10" s="6" t="inlineStr">
        <is>
          <t>~270 km · 2.5–3.5 hrs + border</t>
        </is>
      </c>
      <c r="E10" s="6" t="inlineStr">
        <is>
          <t>10:00</t>
        </is>
      </c>
      <c r="F10" s="2" t="n"/>
    </row>
    <row r="11" ht="15" customHeight="1" s="38">
      <c r="A11" s="9" t="inlineStr">
        <is>
          <t>Fri 17 Jul</t>
        </is>
      </c>
      <c r="B11" s="9" t="inlineStr">
        <is>
          <t>Budapest → Bled stop → Venice</t>
        </is>
      </c>
      <c r="C11" s="9" t="inlineStr">
        <is>
          <t>🚗</t>
        </is>
      </c>
      <c r="D11" s="9" t="inlineStr">
        <is>
          <t>~530 km · 8–9 hrs</t>
        </is>
      </c>
      <c r="E11" s="9" t="inlineStr">
        <is>
          <t>07:30</t>
        </is>
      </c>
      <c r="F11" s="2" t="n"/>
    </row>
    <row r="12" ht="15" customHeight="1" s="38">
      <c r="A12" s="6" t="inlineStr">
        <is>
          <t>Sun 19 Jul</t>
        </is>
      </c>
      <c r="B12" s="6" t="inlineStr">
        <is>
          <t>Venice → Florence</t>
        </is>
      </c>
      <c r="C12" s="6" t="inlineStr">
        <is>
          <t>🚗</t>
        </is>
      </c>
      <c r="D12" s="6" t="inlineStr">
        <is>
          <t>~270 km · 3–3.5 hrs</t>
        </is>
      </c>
      <c r="E12" s="6" t="inlineStr">
        <is>
          <t>10:00</t>
        </is>
      </c>
      <c r="F12" s="2" t="n"/>
    </row>
    <row r="13" ht="15" customHeight="1" s="38">
      <c r="A13" s="6" t="inlineStr">
        <is>
          <t>Mon 20 Jul</t>
        </is>
      </c>
      <c r="B13" s="6" t="inlineStr">
        <is>
          <t>Florence → Pisa stop → Rome</t>
        </is>
      </c>
      <c r="C13" s="6" t="inlineStr">
        <is>
          <t>🚗</t>
        </is>
      </c>
      <c r="D13" s="6" t="inlineStr">
        <is>
          <t>~420 km · 5–6 hrs</t>
        </is>
      </c>
      <c r="E13" s="6" t="inlineStr">
        <is>
          <t>09:30 (after Uffizi)</t>
        </is>
      </c>
      <c r="F13" s="2" t="n"/>
    </row>
    <row r="14" ht="15" customHeight="1" s="38">
      <c r="A14" s="9" t="inlineStr">
        <is>
          <t>Tue 21 Jul</t>
        </is>
      </c>
      <c r="B14" s="9" t="inlineStr">
        <is>
          <t>Rome → Pompeii → Naples → Rome</t>
        </is>
      </c>
      <c r="C14" s="9" t="inlineStr">
        <is>
          <t>🚗</t>
        </is>
      </c>
      <c r="D14" s="9" t="inlineStr">
        <is>
          <t>~460 km round · 8–9 hrs</t>
        </is>
      </c>
      <c r="E14" s="9" t="inlineStr">
        <is>
          <t>08:00 · back by 18:00</t>
        </is>
      </c>
      <c r="F14" s="2" t="n"/>
    </row>
    <row r="15" ht="15" customHeight="1" s="38">
      <c r="A15" s="9" t="inlineStr">
        <is>
          <t>Thu 23 Jul</t>
        </is>
      </c>
      <c r="B15" s="9" t="inlineStr">
        <is>
          <t>Rome → Florence stop → Milan</t>
        </is>
      </c>
      <c r="C15" s="9" t="inlineStr">
        <is>
          <t>🚗</t>
        </is>
      </c>
      <c r="D15" s="9" t="inlineStr">
        <is>
          <t>~580 km · 6.5–7.5 hrs</t>
        </is>
      </c>
      <c r="E15" s="9" t="inlineStr">
        <is>
          <t>07:30</t>
        </is>
      </c>
      <c r="F15" s="2" t="n"/>
    </row>
    <row r="16" ht="15" customHeight="1" s="38">
      <c r="A16" s="6" t="inlineStr">
        <is>
          <t>Fri 24 Jul</t>
        </is>
      </c>
      <c r="B16" s="6" t="inlineStr">
        <is>
          <t>Milan → Stalden (Valais) via Simplon</t>
        </is>
      </c>
      <c r="C16" s="6" t="inlineStr">
        <is>
          <t>🚗</t>
        </is>
      </c>
      <c r="D16" s="6" t="inlineStr">
        <is>
          <t>~290 km · 3.5–4 hrs</t>
        </is>
      </c>
      <c r="E16" s="6" t="inlineStr">
        <is>
          <t>14:30 from Milan (after Duomo morning)</t>
        </is>
      </c>
      <c r="F16" s="2" t="n"/>
    </row>
    <row r="17" ht="15" customHeight="1" s="38">
      <c r="A17" s="6" t="inlineStr">
        <is>
          <t>Sat 25 Jul</t>
        </is>
      </c>
      <c r="B17" s="6" t="inlineStr">
        <is>
          <t>Stalden ↔ Zermatt (train, Gornergrat) → Moléson</t>
        </is>
      </c>
      <c r="C17" s="6" t="inlineStr">
        <is>
          <t>🚆 + 🚗</t>
        </is>
      </c>
      <c r="D17" s="6" t="inlineStr">
        <is>
          <t>Train 30min × 2 · drive ~190 km · 2.5–3 hrs</t>
        </is>
      </c>
      <c r="E17" s="6" t="inlineStr">
        <is>
          <t>07:00 train · 13:00 drive</t>
        </is>
      </c>
      <c r="F17" s="2" t="n"/>
    </row>
    <row r="18" ht="15" customHeight="1" s="38">
      <c r="A18" s="6" t="inlineStr">
        <is>
          <t>Mon 27 Jul</t>
        </is>
      </c>
      <c r="B18" s="6" t="inlineStr">
        <is>
          <t>Moléson → Bern stop → Ottobeuren</t>
        </is>
      </c>
      <c r="C18" s="6" t="inlineStr">
        <is>
          <t>🚗</t>
        </is>
      </c>
      <c r="D18" s="6" t="inlineStr">
        <is>
          <t>~480 km · 5h drive + 3hr Bern stop</t>
        </is>
      </c>
      <c r="E18" s="6" t="inlineStr">
        <is>
          <t>08:00 leave Moléson</t>
        </is>
      </c>
      <c r="F18" s="2" t="n"/>
    </row>
    <row r="19" ht="15" customHeight="1" s="38">
      <c r="A19" s="9" t="inlineStr">
        <is>
          <t>Tue 28 Jul</t>
        </is>
      </c>
      <c r="B19" s="9" t="inlineStr">
        <is>
          <t>Ottobeuren → MUC drop · KLM via AMS → TLS · drive Lourdes</t>
        </is>
      </c>
      <c r="C19" s="9" t="inlineStr">
        <is>
          <t>🚗+✈+🚗</t>
        </is>
      </c>
      <c r="D19" s="9" t="inlineStr">
        <is>
          <t>145 km + 4h25m flight + 150 km</t>
        </is>
      </c>
      <c r="E19" s="9" t="inlineStr">
        <is>
          <t>09:00 from Ottobeuren</t>
        </is>
      </c>
      <c r="F19" s="2" t="n"/>
    </row>
    <row r="20" ht="15" customHeight="1" s="38">
      <c r="A20" s="9" t="inlineStr">
        <is>
          <t>Wed 29 Jul</t>
        </is>
      </c>
      <c r="B20" s="9" t="inlineStr">
        <is>
          <t>Lourdes → TLS drop (Avis) · Tram T2 → Matabiau · 10:20 TGV 8508 → Paris Montparnasse 14:55</t>
        </is>
      </c>
      <c r="C20" s="9" t="inlineStr">
        <is>
          <t>🚗+🚋+🚆</t>
        </is>
      </c>
      <c r="D20" s="9" t="inlineStr">
        <is>
          <t>150 km drive + Tram 35min + TGV 4h35m (Booking Z272DK)</t>
        </is>
      </c>
      <c r="E20" s="9" t="inlineStr">
        <is>
          <t>07:30 from Lourdes</t>
        </is>
      </c>
      <c r="F20" s="2" t="inlineStr">
        <is>
          <t>📎 TGV tickets</t>
        </is>
      </c>
    </row>
    <row r="21" ht="26.25" customHeight="1" s="38">
      <c r="A21" s="9" t="inlineStr">
        <is>
          <t>Thu 30 Jul</t>
        </is>
      </c>
      <c r="B21" s="9" t="inlineStr">
        <is>
          <t>Paris Gare du Nord → Amsterdam Schiphol via Eurostar 9387 (evening)</t>
        </is>
      </c>
      <c r="C21" s="9" t="inlineStr">
        <is>
          <t>🚆 Eurostar</t>
        </is>
      </c>
      <c r="D21" s="9" t="inlineStr">
        <is>
          <t>3h 11m · 20:22 → 23:33 · Coach 13 · Seats 72-76</t>
        </is>
      </c>
      <c r="E21" s="9" t="inlineStr">
        <is>
          <t>19:30 leave hotel for Gare du Nord</t>
        </is>
      </c>
      <c r="F21" s="2" t="inlineStr">
        <is>
          <t>📎 Eurostar tickets: https://drive.google.com/drive/u/0/folders/1ok8hTVTeOR1W4Ze3zHlGVyOAVEZQjL32</t>
        </is>
      </c>
    </row>
    <row r="22" ht="15" customHeight="1" s="38">
      <c r="A22" s="6" t="inlineStr">
        <is>
          <t>Fri 31 Jul</t>
        </is>
      </c>
      <c r="B22" s="6" t="inlineStr">
        <is>
          <t>Amsterdam local (no transit) · Anne Frank + canals + Vondelpark</t>
        </is>
      </c>
      <c r="C22" s="6" t="inlineStr">
        <is>
          <t>—</t>
        </is>
      </c>
      <c r="D22" s="6" t="inlineStr">
        <is>
          <t>foot + tram + bike</t>
        </is>
      </c>
      <c r="E22" s="6" t="inlineStr">
        <is>
          <t>Slow morning</t>
        </is>
      </c>
      <c r="F22" s="2" t="n"/>
    </row>
    <row r="23" ht="15" customHeight="1" s="38">
      <c r="A23" s="6" t="inlineStr">
        <is>
          <t>Sat 1 Aug</t>
        </is>
      </c>
      <c r="B23" s="6" t="inlineStr">
        <is>
          <t>Amsterdam REST DAY (no travel) · Sat Vigil at Sint-Nicolaaskerk</t>
        </is>
      </c>
      <c r="C23" s="6" t="inlineStr">
        <is>
          <t>— rest</t>
        </is>
      </c>
      <c r="D23" s="6" t="inlineStr">
        <is>
          <t>— local foot/tram only</t>
        </is>
      </c>
      <c r="E23" s="6" t="inlineStr">
        <is>
          <t>Slow morning</t>
        </is>
      </c>
      <c r="F23" s="2" t="n"/>
    </row>
    <row r="24" ht="15" customHeight="1" s="38">
      <c r="A24" s="6" t="inlineStr">
        <is>
          <t>Sun 2 Aug</t>
        </is>
      </c>
      <c r="B24" s="6" t="inlineStr">
        <is>
          <t>AMS → fly KLM AMS→CPH</t>
        </is>
      </c>
      <c r="C24" s="6" t="inlineStr">
        <is>
          <t>✈</t>
        </is>
      </c>
      <c r="D24" s="6" t="inlineStr">
        <is>
          <t>~1h 25min</t>
        </is>
      </c>
      <c r="E24" s="6" t="inlineStr">
        <is>
          <t>17:00 to airport</t>
        </is>
      </c>
      <c r="F24" s="2" t="n"/>
    </row>
    <row r="25" ht="26.25" customHeight="1" s="38">
      <c r="A25" s="9" t="inlineStr">
        <is>
          <t>Mon 3 Aug</t>
        </is>
      </c>
      <c r="B25" s="9" t="inlineStr">
        <is>
          <t>CPH → Gothenburg X2000 (Öresund Bridge)</t>
        </is>
      </c>
      <c r="C25" s="9" t="inlineStr">
        <is>
          <t>🚆</t>
        </is>
      </c>
      <c r="D25" s="9" t="inlineStr">
        <is>
          <t>~3h 40min</t>
        </is>
      </c>
      <c r="E25" s="9" t="inlineStr">
        <is>
          <t>13:00 from CPH Central</t>
        </is>
      </c>
      <c r="F25" s="2" t="n"/>
    </row>
    <row r="26" ht="15" customHeight="1" s="38">
      <c r="A26" s="6" t="inlineStr">
        <is>
          <t>Thu 6 Aug</t>
        </is>
      </c>
      <c r="B26" s="6" t="inlineStr">
        <is>
          <t>Munich → Beijing CA962</t>
        </is>
      </c>
      <c r="C26" s="6" t="inlineStr">
        <is>
          <t>✈</t>
        </is>
      </c>
      <c r="D26" s="6" t="inlineStr">
        <is>
          <t>Dep 13:00 → Arr 04:45 Fri 7 Aug</t>
        </is>
      </c>
      <c r="E26" s="6" t="inlineStr">
        <is>
          <t>MUC T2 check-in 10:30</t>
        </is>
      </c>
      <c r="F26" s="2" t="n"/>
    </row>
    <row r="27" ht="15" customHeight="1" s="38">
      <c r="A27" s="6" t="inlineStr">
        <is>
          <t>Sat 8 Aug</t>
        </is>
      </c>
      <c r="B27" s="6" t="inlineStr">
        <is>
          <t>Beijing → Auckland CA783</t>
        </is>
      </c>
      <c r="C27" s="6" t="inlineStr">
        <is>
          <t>✈</t>
        </is>
      </c>
      <c r="D27" s="6" t="inlineStr">
        <is>
          <t>Dep 00:05 → Arr 16:30</t>
        </is>
      </c>
      <c r="E27" s="6" t="inlineStr">
        <is>
          <t>—</t>
        </is>
      </c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" t="n"/>
      <c r="B29" s="2" t="n"/>
      <c r="C29" s="2" t="n"/>
      <c r="D29" s="2" t="n"/>
      <c r="E29" s="2" t="n"/>
      <c r="F29" s="2" t="n"/>
    </row>
    <row r="30" ht="15.75" customHeight="1" s="38">
      <c r="A30" s="2" t="n"/>
      <c r="B30" s="2" t="n"/>
      <c r="C30" s="2" t="n"/>
      <c r="D30" s="2" t="n"/>
      <c r="E30" s="2" t="n"/>
      <c r="F30" s="2" t="n"/>
    </row>
    <row r="31" ht="15.75" customHeight="1" s="38">
      <c r="A31" s="2" t="n"/>
      <c r="B31" s="2" t="n"/>
      <c r="C31" s="2" t="n"/>
      <c r="D31" s="2" t="n"/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2:E2"/>
    <mergeCell ref="A1:E1"/>
  </mergeCells>
  <hyperlinks>
    <hyperlink xmlns:r="http://schemas.openxmlformats.org/officeDocument/2006/relationships" ref="F20" display="📎 TGV tickets" r:id="rId1"/>
    <hyperlink xmlns:r="http://schemas.openxmlformats.org/officeDocument/2006/relationships" ref="F21" display="📎 Eurostar tickets" r:id="rId2"/>
  </hyperlink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5" customWidth="1" style="38" min="1" max="1"/>
    <col width="38" customWidth="1" style="38" min="2" max="2"/>
    <col width="28" customWidth="1" style="38" min="3" max="3"/>
    <col width="60" customWidth="1" style="38" min="4" max="4"/>
    <col width="12" customWidth="1" style="38" min="5" max="5"/>
    <col width="8.710000000000001" customWidth="1" style="38" min="6" max="6"/>
  </cols>
  <sheetData>
    <row r="1" ht="24" customHeight="1" s="38">
      <c r="A1" s="1" t="inlineStr">
        <is>
          <t>Booking priority list</t>
        </is>
      </c>
      <c r="F1" s="2" t="n"/>
    </row>
    <row r="2" ht="18" customHeight="1" s="38">
      <c r="A2" s="3" t="inlineStr">
        <is>
          <t>Book in this order · checkbox column for tracking</t>
        </is>
      </c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#</t>
        </is>
      </c>
      <c r="B4" s="4" t="inlineStr">
        <is>
          <t>Item</t>
        </is>
      </c>
      <c r="C4" s="4" t="inlineStr">
        <is>
          <t>Where</t>
        </is>
      </c>
      <c r="D4" s="4" t="inlineStr">
        <is>
          <t>Notes</t>
        </is>
      </c>
      <c r="E4" s="4" t="inlineStr">
        <is>
          <t>Booked?</t>
        </is>
      </c>
      <c r="F4" s="2" t="n"/>
    </row>
    <row r="5" ht="31.5" customHeight="1" s="38">
      <c r="A5" s="9" t="n">
        <v>1</v>
      </c>
      <c r="B5" s="9" t="inlineStr">
        <is>
          <t>GOT→MUC flight · Wed 5 Aug 06:30</t>
        </is>
      </c>
      <c r="C5" s="9" t="inlineStr">
        <is>
          <t>SAS / Norwegian / Ryanair</t>
        </is>
      </c>
      <c r="D5" s="9" t="inlineStr">
        <is>
          <t>Single most critical booking. Must land MUC by 09:00.</t>
        </is>
      </c>
      <c r="E5" s="9" t="n"/>
    </row>
    <row r="6" ht="31.5" customHeight="1" s="38">
      <c r="A6" s="6" t="n">
        <v>2</v>
      </c>
      <c r="B6" s="6" t="inlineStr">
        <is>
          <t>Lourdes TGV (both directions)</t>
        </is>
      </c>
      <c r="C6" s="6" t="inlineStr">
        <is>
          <t>sncf-connect.com</t>
        </is>
      </c>
      <c r="D6" s="6" t="inlineStr">
        <is>
          <t>Paris→Lourdes 29 Jul 08:00. Lourdes→Paris 30 Jul 08:00. July peak fills weeks ahead.</t>
        </is>
      </c>
      <c r="E6" s="6" t="n"/>
      <c r="F6" s="2" t="n"/>
    </row>
    <row r="7" ht="31.5" customHeight="1" s="38">
      <c r="A7" s="6" t="n">
        <v>3</v>
      </c>
      <c r="B7" s="6" t="inlineStr">
        <is>
          <t>Vatican Museums + Sistine Chapel</t>
        </is>
      </c>
      <c r="C7" s="6" t="inlineStr">
        <is>
          <t>museivaticani.va</t>
        </is>
      </c>
      <c r="D7" s="6" t="inlineStr">
        <is>
          <t>Sells out 3–4 weeks ahead in July. Shoulders + knees covered for St. Peter's.</t>
        </is>
      </c>
      <c r="E7" s="6" t="n"/>
      <c r="F7" s="2" t="n"/>
    </row>
    <row r="8" ht="31.5" customHeight="1" s="38">
      <c r="A8" s="6" t="n">
        <v>4</v>
      </c>
      <c r="B8" s="6" t="inlineStr">
        <is>
          <t>Jungfraujoch</t>
        </is>
      </c>
      <c r="C8" s="6" t="inlineStr">
        <is>
          <t>jungfrau.ch</t>
        </is>
      </c>
      <c r="D8" s="6" t="inlineStr">
        <is>
          <t>❌ CANCELLED — itinerary changed (Moléson/Geneva instead of Interlaken)</t>
        </is>
      </c>
      <c r="E8" s="6" t="inlineStr">
        <is>
          <t>—</t>
        </is>
      </c>
      <c r="F8" s="2" t="n"/>
    </row>
    <row r="9" ht="31.5" customHeight="1" s="38">
      <c r="A9" s="6" t="n">
        <v>5</v>
      </c>
      <c r="B9" s="6" t="inlineStr">
        <is>
          <t>Uffizi Gallery</t>
        </is>
      </c>
      <c r="C9" s="6" t="inlineStr">
        <is>
          <t>uffizi.it</t>
        </is>
      </c>
      <c r="D9" s="6" t="inlineStr">
        <is>
          <t>No same-day tickets in July. Book from Auckland.</t>
        </is>
      </c>
      <c r="E9" s="6" t="n"/>
      <c r="F9" s="2" t="n"/>
    </row>
    <row r="10" ht="31.5" customHeight="1" s="38">
      <c r="A10" s="6" t="n">
        <v>6</v>
      </c>
      <c r="B10" s="6" t="inlineStr">
        <is>
          <t>Gornergrat Railway</t>
        </is>
      </c>
      <c r="C10" s="6" t="inlineStr">
        <is>
          <t>gornergrat.ch</t>
        </is>
      </c>
      <c r="D10" s="6" t="inlineStr">
        <is>
          <t>First train 08:00. Book ahead for July.</t>
        </is>
      </c>
      <c r="E10" s="6" t="n"/>
      <c r="F10" s="2" t="n"/>
    </row>
    <row r="11" ht="31.5" customHeight="1" s="38">
      <c r="A11" s="6" t="n">
        <v>7</v>
      </c>
      <c r="B11" s="6" t="inlineStr">
        <is>
          <t>Berlin Reichstag dome</t>
        </is>
      </c>
      <c r="C11" s="6" t="inlineStr">
        <is>
          <t>bundestag.de</t>
        </is>
      </c>
      <c r="D11" s="6" t="inlineStr">
        <is>
          <t>Free but must register 3+ weeks ahead.</t>
        </is>
      </c>
      <c r="E11" s="6" t="n"/>
      <c r="F11" s="2" t="n"/>
    </row>
    <row r="12" ht="31.5" customHeight="1" s="38">
      <c r="A12" s="6" t="n">
        <v>8</v>
      </c>
      <c r="B12" s="6" t="inlineStr">
        <is>
          <t>MUC airport hotel (Wed 5 Aug overnight)</t>
        </is>
      </c>
      <c r="C12" s="6" t="inlineStr">
        <is>
          <t>Hilton Munich Airport (in-airport) / Premier Inn München Flughafen Ost (budget)</t>
        </is>
      </c>
      <c r="D12" s="6" t="inlineStr">
        <is>
          <t>Hilton ~€320 in-airport, 5 min walk T2 · Premier Inn ~€140 family room, free 24/7 shuttle. Book by 30 May 2026.</t>
        </is>
      </c>
      <c r="E12" s="6" t="n"/>
      <c r="F12" s="2" t="n"/>
    </row>
    <row r="13" ht="31.5" customHeight="1" s="38">
      <c r="A13" s="6" t="n">
        <v>9</v>
      </c>
      <c r="B13" s="6" t="inlineStr">
        <is>
          <t>Rental car vignettes</t>
        </is>
      </c>
      <c r="C13" s="6" t="inlineStr">
        <is>
          <t>At first border crossing</t>
        </is>
      </c>
      <c r="D13" s="6" t="inlineStr">
        <is>
          <t>AT, CH, CZ, HU, SI motorway stickers ~€60 total.</t>
        </is>
      </c>
      <c r="E13" s="6" t="n"/>
      <c r="F13" s="2" t="n"/>
    </row>
    <row r="14" ht="31.5" customHeight="1" s="38">
      <c r="A14" s="6" t="n">
        <v>10</v>
      </c>
      <c r="B14" s="6" t="inlineStr">
        <is>
          <t>Thalys Paris→Amsterdam (30 Jul ~14:13)</t>
        </is>
      </c>
      <c r="C14" s="6" t="inlineStr">
        <is>
          <t>thalys.com</t>
        </is>
      </c>
      <c r="D14" s="6" t="inlineStr">
        <is>
          <t>OLD PLAN — superseded by Toulouse Matabiau→Paris→Eurostar→AMS (29 Jul). Disregard.</t>
        </is>
      </c>
      <c r="E14" s="6" t="inlineStr">
        <is>
          <t>— OLD PLAN</t>
        </is>
      </c>
      <c r="F14" s="2" t="n"/>
    </row>
    <row r="15" ht="31.5" customHeight="1" s="38">
      <c r="A15" s="6" t="n">
        <v>11</v>
      </c>
      <c r="B15" s="6" t="inlineStr">
        <is>
          <t>Rental car (Munich pickup, drop)</t>
        </is>
      </c>
      <c r="C15" s="6" t="inlineStr">
        <is>
          <t>sixt.com / hertz.com</t>
        </is>
      </c>
      <c r="D15" s="6" t="inlineStr">
        <is>
          <t>Pick up 11 Jul ~09:00 MUC T2. Drop 28 Jul ~12:00 MUC T2.</t>
        </is>
      </c>
      <c r="E15" s="6" t="n"/>
      <c r="F15" s="2" t="n"/>
    </row>
    <row r="16" ht="31.5" customHeight="1" s="38">
      <c r="A16" s="6" t="n">
        <v>12</v>
      </c>
      <c r="B16" s="6" t="inlineStr">
        <is>
          <t>Hotels — every other city</t>
        </is>
      </c>
      <c r="C16" s="6" t="inlineStr">
        <is>
          <t>booking.com</t>
        </is>
      </c>
      <c r="D16" s="6" t="inlineStr">
        <is>
          <t>24 separate bookings (some shared multi-night). Build list once flights confirmed.</t>
        </is>
      </c>
      <c r="E16" s="6" t="n"/>
      <c r="F16" s="2" t="n"/>
    </row>
    <row r="17" ht="31.5" customHeight="1" s="38">
      <c r="A17" s="6" t="n">
        <v>13</v>
      </c>
      <c r="B17" s="6" t="inlineStr">
        <is>
          <t>Air China seat selection</t>
        </is>
      </c>
      <c r="C17" s="6" t="inlineStr">
        <is>
          <t>airchina.com</t>
        </is>
      </c>
      <c r="D17" s="6" t="inlineStr">
        <is>
          <t>CA784, CA961, CA962, CA783 — pick window seats for stopover photos.</t>
        </is>
      </c>
      <c r="E17" s="6" t="n"/>
      <c r="F17" s="2" t="n"/>
    </row>
    <row r="18" ht="31.5" customHeight="1" s="38">
      <c r="A18" s="6" t="n">
        <v>14</v>
      </c>
      <c r="B18" s="6" t="inlineStr">
        <is>
          <t>144-hr China Visa-Free Transit confirmation</t>
        </is>
      </c>
      <c r="C18" s="6" t="inlineStr">
        <is>
          <t>nzembassy.com</t>
        </is>
      </c>
      <c r="D18" s="6" t="inlineStr">
        <is>
          <t>Confirm NZ passport eligibility before AKL departure.</t>
        </is>
      </c>
      <c r="E18" s="6" t="n"/>
      <c r="F18" s="2" t="n"/>
    </row>
    <row r="19" ht="31.5" customHeight="1" s="38">
      <c r="A19" s="7" t="n">
        <v>15</v>
      </c>
      <c r="B19" s="7" t="inlineStr">
        <is>
          <t>Burg Altpernstein hotel · 11–13 Jul</t>
        </is>
      </c>
      <c r="C19" s="32" t="inlineStr">
        <is>
          <t>booking.com</t>
        </is>
      </c>
      <c r="D19" s="7" t="inlineStr">
        <is>
          <t>Castle hotel in Upper Austria, 2 nights · 5 guests (2 adults + ages 4, 8, 11)</t>
        </is>
      </c>
      <c r="E19" s="7" t="inlineStr">
        <is>
          <t>✓</t>
        </is>
      </c>
      <c r="F19" s="2" t="n"/>
    </row>
    <row r="20" ht="26.25" customHeight="1" s="38">
      <c r="A20" s="7" t="n">
        <v>16</v>
      </c>
      <c r="B20" s="7" t="inlineStr">
        <is>
          <t>Gold Art Apartment Prague · 13–15 Jul</t>
        </is>
      </c>
      <c r="C20" s="32" t="inlineStr">
        <is>
          <t>booking.com</t>
        </is>
      </c>
      <c r="D20" s="7" t="inlineStr">
        <is>
          <t>2 nights · family apartment for 5</t>
        </is>
      </c>
      <c r="E20" s="7" t="inlineStr">
        <is>
          <t>✓</t>
        </is>
      </c>
      <c r="F20" s="2" t="n"/>
    </row>
    <row r="21" ht="15" customHeight="1" s="38">
      <c r="A21" s="7" t="n">
        <v>17</v>
      </c>
      <c r="B21" s="7" t="inlineStr">
        <is>
          <t>The Levante Laudon Vienna · 15–16 Jul</t>
        </is>
      </c>
      <c r="C21" s="32" t="inlineStr">
        <is>
          <t>booking.com</t>
        </is>
      </c>
      <c r="D21" s="7" t="inlineStr">
        <is>
          <t>1 night · family room for 5</t>
        </is>
      </c>
      <c r="E21" s="7" t="inlineStr">
        <is>
          <t>✓</t>
        </is>
      </c>
      <c r="F21" s="2" t="n"/>
    </row>
    <row r="22" ht="15" customHeight="1" s="38">
      <c r="A22" s="2" t="n"/>
      <c r="B22" s="2" t="n"/>
      <c r="C22" s="2" t="n"/>
      <c r="D22" s="2" t="n"/>
      <c r="E22" s="2" t="n"/>
      <c r="F22" s="2" t="n"/>
    </row>
    <row r="23" ht="15" customHeight="1" s="38">
      <c r="A23" s="7" t="n">
        <v>18</v>
      </c>
      <c r="B23" s="7" t="inlineStr">
        <is>
          <t>City Home Budapest · 16–17 Jul</t>
        </is>
      </c>
      <c r="C23" s="32" t="inlineStr">
        <is>
          <t>booking.com</t>
        </is>
      </c>
      <c r="D23" s="7" t="inlineStr">
        <is>
          <t>District VII (Erzsébetváros) · Hársfa utca 51 · underground garage ~€20/night · 22 apartments, family-friendly</t>
        </is>
      </c>
      <c r="E23" s="7" t="inlineStr">
        <is>
          <t>✓</t>
        </is>
      </c>
      <c r="F23" s="2" t="n"/>
    </row>
    <row r="24" ht="15" customHeight="1" s="38">
      <c r="A24" s="7" t="n">
        <v>19</v>
      </c>
      <c r="B24" s="7" t="inlineStr">
        <is>
          <t>Trilocale Venezia Mestre · 5min Stazione · 17–19 Jul</t>
        </is>
      </c>
      <c r="C24" s="32" t="inlineStr">
        <is>
          <t>booking.com</t>
        </is>
      </c>
      <c r="D24" s="7" t="inlineStr">
        <is>
          <t>Via Podgora 6, 30171 Venice (Mestre) · 2 nights · 5-min walk to Mestre train station · 10-min train to Venezia Santa Lucia</t>
        </is>
      </c>
      <c r="E24" s="7" t="inlineStr">
        <is>
          <t>✓</t>
        </is>
      </c>
      <c r="F24" s="2" t="n"/>
    </row>
    <row r="25" ht="15" customHeight="1" s="38">
      <c r="A25" s="7" t="n">
        <v>20</v>
      </c>
      <c r="B25" s="7" t="inlineStr">
        <is>
          <t>Garden Blue · Florence · 19–20 Jul</t>
        </is>
      </c>
      <c r="C25" s="32" t="inlineStr">
        <is>
          <t>booking.com</t>
        </is>
      </c>
      <c r="D25" s="7" t="inlineStr">
        <is>
          <t>San Gallo district · ~15 min walk to Palazzo Vecchio · 0.9 km to Duomo · near Galleria dell'Accademia · breakfast included · paid on-site parking</t>
        </is>
      </c>
      <c r="E25" s="7" t="inlineStr">
        <is>
          <t>✓</t>
        </is>
      </c>
      <c r="F25" s="2" t="n"/>
    </row>
    <row r="26" ht="15" customHeight="1" s="38">
      <c r="A26" s="7" t="n">
        <v>21</v>
      </c>
      <c r="B26" s="7" t="inlineStr">
        <is>
          <t>Auri apartment · Rome · 20–23 Jul</t>
        </is>
      </c>
      <c r="C26" s="32" t="inlineStr">
        <is>
          <t>booking.com</t>
        </is>
      </c>
      <c r="D26" s="7" t="inlineStr">
        <is>
          <t>Aurelio · 18-min walk to Vatican Museums · 2 bedrooms / 2 bathrooms · balcony · fully equipped kitchen · 3 nights · base for Pompeii day + Vatican day</t>
        </is>
      </c>
      <c r="E26" s="7" t="inlineStr">
        <is>
          <t>✓</t>
        </is>
      </c>
      <c r="F26" s="2" t="n"/>
    </row>
    <row r="27" ht="15" customHeight="1" s="38">
      <c r="A27" s="17" t="n">
        <v>22</v>
      </c>
      <c r="B27" s="17" t="inlineStr">
        <is>
          <t>Postman 8 · Stalden · 24–25 Jul</t>
        </is>
      </c>
      <c r="C27" s="17" t="inlineStr">
        <is>
          <t>booking.com</t>
        </is>
      </c>
      <c r="D27" s="17" t="inlineStr">
        <is>
          <t>Kirchweg 8, 3922 Stalden · 1 night · walk to Stalden-Saas station for Zermatt train</t>
        </is>
      </c>
      <c r="E27" s="17" t="inlineStr">
        <is>
          <t>✓</t>
        </is>
      </c>
      <c r="F27" s="2" t="n"/>
    </row>
    <row r="28" ht="15" customHeight="1" s="38">
      <c r="A28" s="17" t="n">
        <v>23</v>
      </c>
      <c r="B28" s="17" t="inlineStr">
        <is>
          <t>La Pierre à Catillon · Moléson · 25–27 Jul</t>
        </is>
      </c>
      <c r="C28" s="17" t="inlineStr">
        <is>
          <t>booking.com</t>
        </is>
      </c>
      <c r="D28" s="17" t="inlineStr">
        <is>
          <t>Route de Moléson 228, 1663 Moléson-sur-Gruyères · 2 nights · base for Geneva day</t>
        </is>
      </c>
      <c r="E28" s="17" t="inlineStr">
        <is>
          <t>✓</t>
        </is>
      </c>
      <c r="F28" s="2" t="n"/>
    </row>
    <row r="29" ht="15.75" customHeight="1" s="38">
      <c r="A29" s="17" t="n">
        <v>24</v>
      </c>
      <c r="B29" s="17" t="inlineStr">
        <is>
          <t>Milan with Rasika Ayya · 23–24 Jul</t>
        </is>
      </c>
      <c r="C29" s="17" t="inlineStr">
        <is>
          <t>Friend stay 💚</t>
        </is>
      </c>
      <c r="D29" s="17" t="inlineStr">
        <is>
          <t>Address TBC · 1 night · no booking required</t>
        </is>
      </c>
      <c r="E29" s="17" t="inlineStr">
        <is>
          <t>💚</t>
        </is>
      </c>
      <c r="F29" s="2" t="n"/>
    </row>
    <row r="30" ht="15.75" customHeight="1" s="38">
      <c r="A30" s="17" t="n">
        <v>25</v>
      </c>
      <c r="B30" s="17" t="inlineStr">
        <is>
          <t>Zürich hotel · 27–28 Jul</t>
        </is>
      </c>
      <c r="C30" s="17" t="inlineStr">
        <is>
          <t>booking.com</t>
        </is>
      </c>
      <c r="D30" s="17" t="inlineStr">
        <is>
          <t>1 night · family room for 5 · last hotel before MUC drop</t>
        </is>
      </c>
      <c r="E30" s="2" t="n"/>
      <c r="F30" s="2" t="n"/>
    </row>
    <row r="31" ht="15.75" customHeight="1" s="38">
      <c r="A31" s="10" t="inlineStr">
        <is>
          <t>PROGRESS</t>
        </is>
      </c>
      <c r="B31" s="10">
        <f>COUNTIF(E5:E30,"✓")</f>
        <v/>
      </c>
      <c r="C31" s="10" t="inlineStr">
        <is>
          <t>of</t>
        </is>
      </c>
      <c r="D31" s="10">
        <f>COUNTA(B5:B30)</f>
        <v/>
      </c>
      <c r="E31" s="33">
        <f>B31/D31</f>
        <v/>
      </c>
      <c r="F31" s="2" t="n"/>
    </row>
    <row r="32" ht="15.75" customHeight="1" s="38">
      <c r="A32" s="2" t="n"/>
      <c r="B32" s="3" t="inlineStr">
        <is>
          <t>Tip: type ✓ in column E to track</t>
        </is>
      </c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inlineStr">
        <is>
          <t>25</t>
        </is>
      </c>
      <c r="B34" s="2" t="inlineStr">
        <is>
          <t>Hotel Hirsch Ottobeuren · 27-28 Jul</t>
        </is>
      </c>
      <c r="C34" s="2" t="inlineStr">
        <is>
          <t>booking.com</t>
        </is>
      </c>
      <c r="D34" s="2" t="inlineStr">
        <is>
          <t>Marktplatz 12, 87724 Ottobeuren · 9.0/10 (1,877 reviews) · 1 night · family room for 5</t>
        </is>
      </c>
      <c r="E34" s="2" t="inlineStr">
        <is>
          <t>✓</t>
        </is>
      </c>
      <c r="F34" s="2" t="n"/>
    </row>
    <row r="35" ht="15.75" customHeight="1" s="38">
      <c r="A35" s="2" t="inlineStr">
        <is>
          <t>26</t>
        </is>
      </c>
      <c r="B35" s="2" t="inlineStr">
        <is>
          <t>Hôtel Atrium Mondial Lourdes · 28-29 Jul</t>
        </is>
      </c>
      <c r="C35" s="2" t="inlineStr">
        <is>
          <t>booking.com</t>
        </is>
      </c>
      <c r="D35" s="2" t="inlineStr">
        <is>
          <t>19 Avenue du Paradis, 65100 Lourdes · ~10 min walk to Sanctuary · uphill on return · BOOKED</t>
        </is>
      </c>
      <c r="E35" s="2" t="inlineStr">
        <is>
          <t>✓</t>
        </is>
      </c>
      <c r="F35" s="2" t="n"/>
    </row>
    <row r="36" ht="15.75" customHeight="1" s="38">
      <c r="A36" s="2" t="inlineStr">
        <is>
          <t>27</t>
        </is>
      </c>
      <c r="B36" s="2" t="inlineStr">
        <is>
          <t>Caen hotel · CANCELLED (Caen now optional day-trip from Paris, no overnight)</t>
        </is>
      </c>
      <c r="C36" s="2" t="inlineStr">
        <is>
          <t>booking.com</t>
        </is>
      </c>
      <c r="D36" s="2" t="inlineStr">
        <is>
          <t>Plan changed: Day 20 sleep Paris (Hôtel Home Latin) instead. Caen visited as Day 21 day-trip if energy permits, else skip.</t>
        </is>
      </c>
      <c r="E36" s="2" t="inlineStr">
        <is>
          <t>— OLD</t>
        </is>
      </c>
      <c r="F36" s="2" t="n"/>
    </row>
    <row r="37" ht="15.75" customHeight="1" s="38">
      <c r="A37" s="2" t="inlineStr">
        <is>
          <t>28</t>
        </is>
      </c>
      <c r="B37" s="2" t="inlineStr">
        <is>
          <t>Amsterdam with cousin · 29-30, 31 Jul – 2 Aug</t>
        </is>
      </c>
      <c r="C37" s="2" t="inlineStr">
        <is>
          <t>Family stay 💚</t>
        </is>
      </c>
      <c r="D37" s="2" t="inlineStr">
        <is>
          <t>Cousin's home · address TBC · 4 nights · no booking required</t>
        </is>
      </c>
      <c r="E37" s="2" t="inlineStr">
        <is>
          <t>💚</t>
        </is>
      </c>
      <c r="F37" s="2" t="n"/>
    </row>
    <row r="38" ht="15.75" customHeight="1" s="38">
      <c r="A38" s="2" t="inlineStr">
        <is>
          <t>29</t>
        </is>
      </c>
      <c r="B38" s="2" t="inlineStr">
        <is>
          <t>Danhostel Copenhagen City · 2-3 Aug</t>
        </is>
      </c>
      <c r="C38" s="2" t="inlineStr">
        <is>
          <t>booking.com</t>
        </is>
      </c>
      <c r="D38" s="2" t="inlineStr">
        <is>
          <t>H. C. Andersens Boulevard 50, 1553 Copenhagen · 5 min walk to Tivoli · 10 min to Central Station · family room</t>
        </is>
      </c>
      <c r="E38" s="2" t="inlineStr">
        <is>
          <t>✓</t>
        </is>
      </c>
      <c r="F38" s="2" t="n"/>
    </row>
    <row r="39" ht="15.75" customHeight="1" s="38">
      <c r="A39" s="2" t="inlineStr">
        <is>
          <t>30</t>
        </is>
      </c>
      <c r="B39" s="2" t="inlineStr">
        <is>
          <t>Gothenburg with sister · 3-5 Aug</t>
        </is>
      </c>
      <c r="C39" s="2" t="inlineStr">
        <is>
          <t>Sister stay 💙</t>
        </is>
      </c>
      <c r="D39" s="2" t="inlineStr">
        <is>
          <t>Sister's place (or nearby hotel) · 2 nights</t>
        </is>
      </c>
      <c r="E39" s="2" t="inlineStr">
        <is>
          <t>💙</t>
        </is>
      </c>
      <c r="F39" s="2" t="n"/>
    </row>
    <row r="40" ht="15.75" customHeight="1" s="38">
      <c r="A40" s="2" t="inlineStr">
        <is>
          <t>31</t>
        </is>
      </c>
      <c r="B40" s="2" t="inlineStr">
        <is>
          <t>Munich airport hotel · 5-6 Aug</t>
        </is>
      </c>
      <c r="C40" s="2" t="inlineStr">
        <is>
          <t>booking.com</t>
        </is>
      </c>
      <c r="D40" s="2" t="inlineStr">
        <is>
          <t>Novotel MUC Airport / Hilton Munich Airport · day room or overnight · ~€60-120</t>
        </is>
      </c>
      <c r="E40" s="2" t="n"/>
      <c r="F40" s="2" t="n"/>
    </row>
    <row r="41" ht="15.75" customHeight="1" s="38">
      <c r="A41" s="2" t="inlineStr">
        <is>
          <t>32</t>
        </is>
      </c>
      <c r="B41" s="2" t="inlineStr">
        <is>
          <t>TLS rental car · 28-29 Jul</t>
        </is>
      </c>
      <c r="C41" s="2" t="inlineStr">
        <is>
          <t>hertz.com / europcar.fr</t>
        </is>
      </c>
      <c r="D41" s="2" t="inlineStr">
        <is>
          <t>Pick up Toulouse-Blagnac airport Tue 28 Jul ~16:30 · drop Wed 29 Jul ~08:00 · ~€100-150 total · pre-book</t>
        </is>
      </c>
      <c r="E41" s="2" t="n"/>
      <c r="F41" s="2" t="n"/>
    </row>
    <row r="42" ht="15.75" customHeight="1" s="38">
      <c r="A42" s="2" t="inlineStr">
        <is>
          <t>33</t>
        </is>
      </c>
      <c r="B42" s="2" t="inlineStr">
        <is>
          <t>KLM MUC→AMS→TLS · Tue 28 Jul</t>
        </is>
      </c>
      <c r="C42" s="2" t="inlineStr">
        <is>
          <t>klm.com</t>
        </is>
      </c>
      <c r="D42" s="2" t="inlineStr">
        <is>
          <t>KLM 11:50 MUC → AMS Schiphol → TLS 16:15 · 4h 25min via Schiphol layover · book 3+ months ahead</t>
        </is>
      </c>
      <c r="E42" s="2" t="n"/>
      <c r="F42" s="2" t="n"/>
    </row>
    <row r="43" ht="15.75" customHeight="1" s="38">
      <c r="A43" s="2" t="inlineStr">
        <is>
          <t>34</t>
        </is>
      </c>
      <c r="B43" s="2" t="inlineStr">
        <is>
          <t>TGV Toulouse → Paris · Wed 29 Jul</t>
        </is>
      </c>
      <c r="C43" s="2" t="inlineStr">
        <is>
          <t>sncf-connect.com / trainline.com</t>
        </is>
      </c>
      <c r="D43" s="2" t="inlineStr">
        <is>
          <t>Toulouse Matabiau 10:20 → Paris Montparnasse 14:35 · 4h 15m direct · BOOKED</t>
        </is>
      </c>
      <c r="E43" s="2" t="inlineStr">
        <is>
          <t>✓</t>
        </is>
      </c>
      <c r="F43" s="2" t="n"/>
    </row>
    <row r="44" ht="15.75" customHeight="1" s="38">
      <c r="A44" s="2" t="inlineStr">
        <is>
          <t>35</t>
        </is>
      </c>
      <c r="B44" s="2" t="inlineStr">
        <is>
          <t>Eurostar Paris → Amsterdam · Wed 29 Jul</t>
        </is>
      </c>
      <c r="C44" s="2" t="inlineStr">
        <is>
          <t>eurostar.com / trainline.com</t>
        </is>
      </c>
      <c r="D44" s="2" t="inlineStr">
        <is>
          <t>Paris Nord ~16:00 → Amsterdam Centraal 19:20 · 3h 20min · book together with TGV</t>
        </is>
      </c>
      <c r="E44" s="2" t="n"/>
      <c r="F44" s="2" t="n"/>
    </row>
    <row r="45" ht="15.75" customHeight="1" s="38">
      <c r="A45" s="2" t="inlineStr">
        <is>
          <t>36</t>
        </is>
      </c>
      <c r="B45" s="2" t="inlineStr">
        <is>
          <t>KLM AMS→CPH · Sun 2 Aug</t>
        </is>
      </c>
      <c r="C45" s="2" t="inlineStr">
        <is>
          <t>klm.com</t>
        </is>
      </c>
      <c r="D45" s="2" t="inlineStr">
        <is>
          <t>AMS 19:00 → CPH 20:30 · 1h 25min direct</t>
        </is>
      </c>
      <c r="E45" s="2" t="n"/>
      <c r="F45" s="2" t="n"/>
    </row>
    <row r="46" ht="15.75" customHeight="1" s="38">
      <c r="A46" s="2" t="inlineStr">
        <is>
          <t>37</t>
        </is>
      </c>
      <c r="B46" s="2" t="inlineStr">
        <is>
          <t>X2000 train CPH→Gothenburg · Mon 3 Aug</t>
        </is>
      </c>
      <c r="C46" s="2" t="inlineStr">
        <is>
          <t>sj.se</t>
        </is>
      </c>
      <c r="D46" s="2" t="inlineStr">
        <is>
          <t>Copenhagen Central 13:00 → Gothenburg Central 16:40 · via Öresund Bridge · 3h 40min</t>
        </is>
      </c>
      <c r="E46" s="2" t="n"/>
      <c r="F46" s="2" t="n"/>
    </row>
    <row r="47" ht="15.75" customHeight="1" s="38">
      <c r="A47" s="2" t="inlineStr">
        <is>
          <t>38</t>
        </is>
      </c>
      <c r="B47" s="2" t="inlineStr">
        <is>
          <t>GOT→MUC flight · Wed 5 Aug 06:30</t>
        </is>
      </c>
      <c r="C47" s="2" t="inlineStr">
        <is>
          <t>sas.se / norwegian.com</t>
        </is>
      </c>
      <c r="D47" s="2" t="inlineStr">
        <is>
          <t>Single most critical booking · early flight · book 3+ months ahead</t>
        </is>
      </c>
      <c r="E47" s="2" t="n"/>
      <c r="F47" s="2" t="n"/>
    </row>
    <row r="48" ht="15.75" customHeight="1" s="38">
      <c r="A48" s="2" t="inlineStr">
        <is>
          <t>39</t>
        </is>
      </c>
      <c r="B48" s="2" t="inlineStr">
        <is>
          <t>ibis budget Paris Porte d Italie Ouest · 30-31 Jul (2 rooms)</t>
        </is>
      </c>
      <c r="C48" s="2" t="inlineStr">
        <is>
          <t>booking.com</t>
        </is>
      </c>
      <c r="D48" s="2" t="inlineStr">
        <is>
          <t>9-15 Rue Élisée Reclus, 94270 Le Kremlin-Bicêtre · 2 rooms (family of 5) · FREE private parking · Métro Line 7 (5 min walk) · BOOKED</t>
        </is>
      </c>
      <c r="E48" s="2" t="inlineStr">
        <is>
          <t>✓</t>
        </is>
      </c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2:E2"/>
    <mergeCell ref="A1:E1"/>
  </mergeCells>
  <hyperlinks>
    <hyperlink xmlns:r="http://schemas.openxmlformats.org/officeDocument/2006/relationships" ref="C19" r:id="rId1"/>
    <hyperlink xmlns:r="http://schemas.openxmlformats.org/officeDocument/2006/relationships" ref="C20" r:id="rId2"/>
    <hyperlink xmlns:r="http://schemas.openxmlformats.org/officeDocument/2006/relationships" ref="C21" r:id="rId3"/>
    <hyperlink xmlns:r="http://schemas.openxmlformats.org/officeDocument/2006/relationships" ref="C23" r:id="rId4"/>
    <hyperlink xmlns:r="http://schemas.openxmlformats.org/officeDocument/2006/relationships" ref="C24" r:id="rId5"/>
    <hyperlink xmlns:r="http://schemas.openxmlformats.org/officeDocument/2006/relationships" ref="C25" r:id="rId6"/>
    <hyperlink xmlns:r="http://schemas.openxmlformats.org/officeDocument/2006/relationships" ref="C26" r:id="rId7"/>
  </hyperlink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8" min="1" max="1"/>
    <col width="26" customWidth="1" style="38" min="2" max="2"/>
    <col width="18" customWidth="1" style="38" min="3" max="3"/>
    <col width="12" customWidth="1" style="38" min="4" max="4"/>
    <col width="8.710000000000001" customWidth="1" style="38" min="5" max="6"/>
  </cols>
  <sheetData>
    <row r="1" ht="24" customHeight="1" s="38">
      <c r="A1" s="1" t="inlineStr">
        <is>
          <t>Cities visited</t>
        </is>
      </c>
      <c r="E1" s="2" t="n"/>
      <c r="F1" s="2" t="n"/>
    </row>
    <row r="2" ht="18" customHeight="1" s="38">
      <c r="A2" s="3" t="inlineStr">
        <is>
          <t>Nights per stop · 25 nights total verified by formula</t>
        </is>
      </c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Order</t>
        </is>
      </c>
      <c r="B4" s="4" t="inlineStr">
        <is>
          <t>City</t>
        </is>
      </c>
      <c r="C4" s="4" t="inlineStr">
        <is>
          <t>Country</t>
        </is>
      </c>
      <c r="D4" s="4" t="inlineStr">
        <is>
          <t>Nights</t>
        </is>
      </c>
      <c r="E4" s="2" t="n"/>
      <c r="F4" s="2" t="n"/>
    </row>
    <row r="5" ht="15" customHeight="1" s="38">
      <c r="A5" s="6" t="n">
        <v>1</v>
      </c>
      <c r="B5" s="6" t="inlineStr">
        <is>
          <t>Munich (arrive only)</t>
        </is>
      </c>
      <c r="C5" s="6" t="inlineStr">
        <is>
          <t>Germany</t>
        </is>
      </c>
      <c r="D5" s="6" t="n">
        <v>0</v>
      </c>
      <c r="E5" s="2" t="n"/>
      <c r="F5" s="2" t="n"/>
    </row>
    <row r="6" ht="15" customHeight="1" s="38">
      <c r="A6" s="6" t="inlineStr">
        <is>
          <t>1b</t>
        </is>
      </c>
      <c r="B6" s="6" t="inlineStr">
        <is>
          <t>Burg Altpernstein (castle hotel)</t>
        </is>
      </c>
      <c r="C6" s="6" t="inlineStr">
        <is>
          <t>Austria</t>
        </is>
      </c>
      <c r="D6" s="6" t="n">
        <v>2</v>
      </c>
      <c r="E6" s="2" t="n"/>
      <c r="F6" s="2" t="n"/>
    </row>
    <row r="7" ht="15" customHeight="1" s="38">
      <c r="A7" s="25" t="inlineStr">
        <is>
          <t>+</t>
        </is>
      </c>
      <c r="B7" s="25" t="inlineStr">
        <is>
          <t>Salzburg (day-trip option from Burg)</t>
        </is>
      </c>
      <c r="C7" s="25" t="inlineStr">
        <is>
          <t>Austria</t>
        </is>
      </c>
      <c r="D7" s="2" t="n"/>
      <c r="E7" s="2" t="n"/>
      <c r="F7" s="2" t="n"/>
    </row>
    <row r="8" ht="15" customHeight="1" s="38">
      <c r="A8" s="6" t="n">
        <v>2</v>
      </c>
      <c r="B8" s="6" t="inlineStr">
        <is>
          <t>Hallstatt (day trip)</t>
        </is>
      </c>
      <c r="C8" s="6" t="inlineStr">
        <is>
          <t>Austria</t>
        </is>
      </c>
      <c r="D8" s="6" t="n">
        <v>0</v>
      </c>
      <c r="E8" s="2" t="n"/>
      <c r="F8" s="2" t="n"/>
    </row>
    <row r="9" ht="15" customHeight="1" s="38">
      <c r="A9" s="6" t="n">
        <v>3</v>
      </c>
      <c r="B9" s="6" t="inlineStr">
        <is>
          <t>Prague</t>
        </is>
      </c>
      <c r="C9" s="6" t="inlineStr">
        <is>
          <t>Czechia</t>
        </is>
      </c>
      <c r="D9" s="6" t="n">
        <v>2</v>
      </c>
      <c r="E9" s="2" t="n"/>
      <c r="F9" s="2" t="n"/>
    </row>
    <row r="10" ht="15" customHeight="1" s="38">
      <c r="A10" s="6" t="n">
        <v>4</v>
      </c>
      <c r="B10" s="6" t="inlineStr">
        <is>
          <t>Vienna</t>
        </is>
      </c>
      <c r="C10" s="6" t="inlineStr">
        <is>
          <t>Austria</t>
        </is>
      </c>
      <c r="D10" s="6" t="n">
        <v>1</v>
      </c>
      <c r="E10" s="2" t="n"/>
      <c r="F10" s="2" t="n"/>
    </row>
    <row r="11" ht="15" customHeight="1" s="38">
      <c r="A11" s="6" t="n">
        <v>5</v>
      </c>
      <c r="B11" s="6" t="inlineStr">
        <is>
          <t>Budapest</t>
        </is>
      </c>
      <c r="C11" s="6" t="inlineStr">
        <is>
          <t>Hungary</t>
        </is>
      </c>
      <c r="D11" s="6" t="n">
        <v>1</v>
      </c>
      <c r="E11" s="2" t="n"/>
      <c r="F11" s="2" t="n"/>
    </row>
    <row r="12" ht="15" customHeight="1" s="38">
      <c r="A12" s="6" t="n">
        <v>6</v>
      </c>
      <c r="B12" s="6" t="inlineStr">
        <is>
          <t>Bled (day stop)</t>
        </is>
      </c>
      <c r="C12" s="6" t="inlineStr">
        <is>
          <t>Slovenia</t>
        </is>
      </c>
      <c r="D12" s="6" t="n">
        <v>0</v>
      </c>
      <c r="E12" s="2" t="n"/>
      <c r="F12" s="2" t="n"/>
    </row>
    <row r="13" ht="15" customHeight="1" s="38">
      <c r="A13" s="6" t="n">
        <v>7</v>
      </c>
      <c r="B13" s="6" t="inlineStr">
        <is>
          <t>Venice</t>
        </is>
      </c>
      <c r="C13" s="6" t="inlineStr">
        <is>
          <t>Italy</t>
        </is>
      </c>
      <c r="D13" s="6" t="n">
        <v>2</v>
      </c>
      <c r="E13" s="2" t="n"/>
      <c r="F13" s="2" t="n"/>
    </row>
    <row r="14" ht="15" customHeight="1" s="38">
      <c r="A14" s="6" t="n">
        <v>8</v>
      </c>
      <c r="B14" s="6" t="inlineStr">
        <is>
          <t>Florence</t>
        </is>
      </c>
      <c r="C14" s="6" t="inlineStr">
        <is>
          <t>Italy</t>
        </is>
      </c>
      <c r="D14" s="6" t="n">
        <v>1</v>
      </c>
      <c r="E14" s="2" t="n"/>
      <c r="F14" s="2" t="n"/>
    </row>
    <row r="15" ht="15" customHeight="1" s="38">
      <c r="A15" s="6" t="n">
        <v>9</v>
      </c>
      <c r="B15" s="6" t="inlineStr">
        <is>
          <t>Naples (day trip)</t>
        </is>
      </c>
      <c r="C15" s="6" t="inlineStr">
        <is>
          <t>Italy</t>
        </is>
      </c>
      <c r="D15" s="6" t="n">
        <v>0</v>
      </c>
      <c r="E15" s="2" t="n"/>
      <c r="F15" s="2" t="n"/>
    </row>
    <row r="16" ht="15" customHeight="1" s="38">
      <c r="A16" s="6" t="n">
        <v>10</v>
      </c>
      <c r="B16" s="6" t="inlineStr">
        <is>
          <t>Rome</t>
        </is>
      </c>
      <c r="C16" s="6" t="inlineStr">
        <is>
          <t>Italy</t>
        </is>
      </c>
      <c r="D16" s="6" t="n">
        <v>3</v>
      </c>
      <c r="E16" s="2" t="n"/>
      <c r="F16" s="2" t="n"/>
    </row>
    <row r="17" ht="15" customHeight="1" s="38">
      <c r="A17" s="6" t="n">
        <v>11</v>
      </c>
      <c r="B17" s="6" t="inlineStr">
        <is>
          <t>Milan</t>
        </is>
      </c>
      <c r="C17" s="6" t="inlineStr">
        <is>
          <t>Italy</t>
        </is>
      </c>
      <c r="D17" s="6" t="n">
        <v>1</v>
      </c>
      <c r="E17" s="2" t="n"/>
      <c r="F17" s="2" t="n"/>
    </row>
    <row r="18" ht="15" customHeight="1" s="38">
      <c r="A18" s="6" t="inlineStr">
        <is>
          <t>12.0</t>
        </is>
      </c>
      <c r="B18" s="6" t="inlineStr">
        <is>
          <t>Stalden (Valais)</t>
        </is>
      </c>
      <c r="C18" s="6" t="inlineStr">
        <is>
          <t>Switzerland</t>
        </is>
      </c>
      <c r="D18" s="6" t="n">
        <v>1</v>
      </c>
      <c r="E18" s="2" t="n"/>
      <c r="F18" s="2" t="n"/>
    </row>
    <row r="19" ht="15" customHeight="1" s="38">
      <c r="A19" s="6" t="inlineStr">
        <is>
          <t>13.0</t>
        </is>
      </c>
      <c r="B19" s="6" t="inlineStr">
        <is>
          <t>Moléson-sur-Gruyères</t>
        </is>
      </c>
      <c r="C19" s="6" t="inlineStr">
        <is>
          <t>Switzerland</t>
        </is>
      </c>
      <c r="D19" s="6" t="n">
        <v>2</v>
      </c>
      <c r="E19" s="2" t="n"/>
      <c r="F19" s="2" t="n"/>
    </row>
    <row r="20" ht="15" customHeight="1" s="38">
      <c r="A20" s="6" t="inlineStr">
        <is>
          <t>14.0</t>
        </is>
      </c>
      <c r="B20" s="6" t="inlineStr">
        <is>
          <t>Ottobeuren (Bavaria)</t>
        </is>
      </c>
      <c r="C20" s="6" t="inlineStr">
        <is>
          <t>Germany</t>
        </is>
      </c>
      <c r="D20" s="6" t="n">
        <v>1</v>
      </c>
      <c r="E20" s="2" t="n"/>
      <c r="F20" s="2" t="n"/>
    </row>
    <row r="21" ht="15" customHeight="1" s="38">
      <c r="A21" s="6" t="n">
        <v>15</v>
      </c>
      <c r="B21" s="6" t="inlineStr">
        <is>
          <t>Paris</t>
        </is>
      </c>
      <c r="C21" s="6" t="inlineStr">
        <is>
          <t>France</t>
        </is>
      </c>
      <c r="D21" s="6" t="n">
        <v>1</v>
      </c>
      <c r="E21" s="2" t="n"/>
      <c r="F21" s="2" t="n"/>
    </row>
    <row r="22" ht="15" customHeight="1" s="38">
      <c r="A22" s="6" t="n">
        <v>16</v>
      </c>
      <c r="B22" s="6" t="inlineStr">
        <is>
          <t>Lourdes</t>
        </is>
      </c>
      <c r="C22" s="6" t="inlineStr">
        <is>
          <t>France</t>
        </is>
      </c>
      <c r="D22" s="6" t="n">
        <v>1</v>
      </c>
      <c r="E22" s="2" t="n"/>
      <c r="F22" s="2" t="n"/>
    </row>
    <row r="23" ht="15" customHeight="1" s="38">
      <c r="A23" s="7" t="n">
        <v>17</v>
      </c>
      <c r="B23" s="7" t="inlineStr">
        <is>
          <t>Amsterdam</t>
        </is>
      </c>
      <c r="C23" s="7" t="inlineStr">
        <is>
          <t>Netherlands</t>
        </is>
      </c>
      <c r="D23" s="7" t="n">
        <v>1</v>
      </c>
      <c r="E23" s="2" t="n"/>
      <c r="F23" s="2" t="n"/>
    </row>
    <row r="24" ht="15" customHeight="1" s="38">
      <c r="A24" s="7" t="n">
        <v>19</v>
      </c>
      <c r="B24" s="7" t="inlineStr">
        <is>
          <t>Copenhagen</t>
        </is>
      </c>
      <c r="C24" s="7" t="inlineStr">
        <is>
          <t>Denmark</t>
        </is>
      </c>
      <c r="D24" s="7" t="n">
        <v>1</v>
      </c>
      <c r="E24" s="2" t="n"/>
      <c r="F24" s="2" t="n"/>
    </row>
    <row r="25" ht="15" customHeight="1" s="38">
      <c r="A25" s="8" t="n">
        <v>20</v>
      </c>
      <c r="B25" s="8" t="inlineStr">
        <is>
          <t>Gothenburg</t>
        </is>
      </c>
      <c r="C25" s="8" t="inlineStr">
        <is>
          <t>Sweden</t>
        </is>
      </c>
      <c r="D25" s="8" t="n">
        <v>2</v>
      </c>
      <c r="E25" s="2" t="n"/>
      <c r="F25" s="2" t="n"/>
    </row>
    <row r="26" ht="15" customHeight="1" s="38">
      <c r="A26" s="25" t="inlineStr">
        <is>
          <t>+</t>
        </is>
      </c>
      <c r="B26" s="25" t="inlineStr">
        <is>
          <t>Geneva (day trip from Moléson)</t>
        </is>
      </c>
      <c r="C26" s="25" t="inlineStr">
        <is>
          <t>Switzerland</t>
        </is>
      </c>
      <c r="D26" s="2" t="n"/>
      <c r="E26" s="2" t="n"/>
      <c r="F26" s="2" t="n"/>
    </row>
    <row r="27" ht="15.75" customHeight="1" s="38">
      <c r="A27" s="25" t="inlineStr">
        <is>
          <t>+</t>
        </is>
      </c>
      <c r="B27" s="25" t="inlineStr">
        <is>
          <t>Bern (3hr stop)</t>
        </is>
      </c>
      <c r="C27" s="25" t="inlineStr">
        <is>
          <t>Switzerland</t>
        </is>
      </c>
      <c r="D27" s="2" t="n"/>
      <c r="E27" s="2" t="n"/>
      <c r="F27" s="2" t="n"/>
    </row>
    <row r="28" ht="15.75" customHeight="1" s="38">
      <c r="A28" s="25" t="inlineStr">
        <is>
          <t>+</t>
        </is>
      </c>
      <c r="B28" s="25" t="inlineStr">
        <is>
          <t>Bruges + Brussels (day trip from AMS)</t>
        </is>
      </c>
      <c r="C28" s="25" t="inlineStr">
        <is>
          <t>Belgium</t>
        </is>
      </c>
      <c r="D28" s="2" t="n"/>
      <c r="E28" s="2" t="n"/>
      <c r="F28" s="2" t="n"/>
    </row>
    <row r="29" ht="15.75" customHeight="1" s="38">
      <c r="A29" s="25" t="inlineStr">
        <is>
          <t>+</t>
        </is>
      </c>
      <c r="B29" s="25" t="inlineStr">
        <is>
          <t>Bayeux (Tapestry stop)</t>
        </is>
      </c>
      <c r="C29" s="25" t="inlineStr">
        <is>
          <t>France</t>
        </is>
      </c>
      <c r="D29" s="2" t="n"/>
      <c r="E29" s="2" t="n"/>
      <c r="F29" s="2" t="n"/>
    </row>
    <row r="30" ht="15.75" customHeight="1" s="38">
      <c r="A30" s="25" t="inlineStr">
        <is>
          <t>+</t>
        </is>
      </c>
      <c r="B30" s="25" t="inlineStr">
        <is>
          <t>Paris (brief stop en route Caen)</t>
        </is>
      </c>
      <c r="C30" s="25" t="inlineStr">
        <is>
          <t>France</t>
        </is>
      </c>
      <c r="D30" s="2" t="n"/>
      <c r="E30" s="2" t="n"/>
      <c r="F30" s="2" t="n"/>
    </row>
    <row r="31" ht="15.75" customHeight="1" s="38">
      <c r="A31" s="10" t="inlineStr">
        <is>
          <t>TOTAL</t>
        </is>
      </c>
      <c r="B31" s="10" t="inlineStr">
        <is>
          <t>Nights</t>
        </is>
      </c>
      <c r="C31" s="10" t="n"/>
      <c r="D31" s="10">
        <f>SUM(D5:D30)</f>
        <v/>
      </c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8" min="1" max="1"/>
    <col width="16" customWidth="1" style="38" min="2" max="2"/>
    <col width="20" customWidth="1" style="38" min="3" max="3"/>
    <col width="22" customWidth="1" style="38" min="4" max="5"/>
    <col width="38" customWidth="1" style="38" min="6" max="6"/>
  </cols>
  <sheetData>
    <row r="1" ht="24" customHeight="1" s="38">
      <c r="A1" s="1" t="inlineStr">
        <is>
          <t>Long-haul flights · Air China</t>
        </is>
      </c>
    </row>
    <row r="2" ht="18" customHeight="1" s="38">
      <c r="A2" s="3" t="inlineStr">
        <is>
          <t>AKL → PEK → MUC outbound · MUC → PEK → AKL inbound</t>
        </is>
      </c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Direction</t>
        </is>
      </c>
      <c r="B4" s="4" t="inlineStr">
        <is>
          <t>Flight</t>
        </is>
      </c>
      <c r="C4" s="4" t="inlineStr">
        <is>
          <t>Route</t>
        </is>
      </c>
      <c r="D4" s="4" t="inlineStr">
        <is>
          <t>Depart</t>
        </is>
      </c>
      <c r="E4" s="4" t="inlineStr">
        <is>
          <t>Arrive</t>
        </is>
      </c>
      <c r="F4" s="4" t="inlineStr">
        <is>
          <t>Aircraft / Notes</t>
        </is>
      </c>
    </row>
    <row r="5" ht="15" customHeight="1" s="38">
      <c r="A5" s="6" t="inlineStr">
        <is>
          <t>Outbound</t>
        </is>
      </c>
      <c r="B5" s="6" t="inlineStr">
        <is>
          <t>CA784</t>
        </is>
      </c>
      <c r="C5" s="6" t="inlineStr">
        <is>
          <t>AKL → PEK</t>
        </is>
      </c>
      <c r="D5" s="6" t="inlineStr">
        <is>
          <t>Thu 9 Jul · 19:30</t>
        </is>
      </c>
      <c r="E5" s="6" t="inlineStr">
        <is>
          <t>Fri 10 Jul · 04:40</t>
        </is>
      </c>
      <c r="F5" s="6" t="inlineStr">
        <is>
          <t>B787-900 · 13h 10m</t>
        </is>
      </c>
    </row>
    <row r="6" ht="15" customHeight="1" s="38">
      <c r="A6" s="9" t="inlineStr">
        <is>
          <t>Outbound</t>
        </is>
      </c>
      <c r="B6" s="9" t="inlineStr">
        <is>
          <t>— stopover —</t>
        </is>
      </c>
      <c r="C6" s="9" t="inlineStr">
        <is>
          <t>Beijing 22h 10m</t>
        </is>
      </c>
      <c r="D6" s="9" t="inlineStr">
        <is>
          <t>—</t>
        </is>
      </c>
      <c r="E6" s="9" t="inlineStr">
        <is>
          <t>—</t>
        </is>
      </c>
      <c r="F6" s="9" t="inlineStr">
        <is>
          <t>Forbidden City + Tiananmen Square</t>
        </is>
      </c>
    </row>
    <row r="7" ht="15" customHeight="1" s="38">
      <c r="A7" s="6" t="inlineStr">
        <is>
          <t>Outbound</t>
        </is>
      </c>
      <c r="B7" s="6" t="inlineStr">
        <is>
          <t>CA961</t>
        </is>
      </c>
      <c r="C7" s="6" t="inlineStr">
        <is>
          <t>PEK → MUC</t>
        </is>
      </c>
      <c r="D7" s="6" t="inlineStr">
        <is>
          <t>Sat 11 Jul · 02:50</t>
        </is>
      </c>
      <c r="E7" s="6" t="inlineStr">
        <is>
          <t>Sat 11 Jul · 07:05</t>
        </is>
      </c>
      <c r="F7" s="6" t="inlineStr">
        <is>
          <t>B777-300ER · 10h 15m</t>
        </is>
      </c>
    </row>
    <row r="8" ht="15" customHeight="1" s="38">
      <c r="A8" s="6" t="inlineStr">
        <is>
          <t>Inbound</t>
        </is>
      </c>
      <c r="B8" s="6" t="inlineStr">
        <is>
          <t>CA962</t>
        </is>
      </c>
      <c r="C8" s="6" t="inlineStr">
        <is>
          <t>MUC → PEK</t>
        </is>
      </c>
      <c r="D8" s="6" t="inlineStr">
        <is>
          <t>Thu 6 Aug · 13:00</t>
        </is>
      </c>
      <c r="E8" s="6" t="inlineStr">
        <is>
          <t>Fri 7 Aug · 04:45</t>
        </is>
      </c>
      <c r="F8" s="6" t="inlineStr">
        <is>
          <t>9h 45m · check-in by 10:30</t>
        </is>
      </c>
    </row>
    <row r="9" ht="15" customHeight="1" s="38">
      <c r="A9" s="9" t="inlineStr">
        <is>
          <t>Inbound</t>
        </is>
      </c>
      <c r="B9" s="9" t="inlineStr">
        <is>
          <t>— stopover —</t>
        </is>
      </c>
      <c r="C9" s="9" t="inlineStr">
        <is>
          <t>Beijing 19h 20m</t>
        </is>
      </c>
      <c r="D9" s="9" t="inlineStr">
        <is>
          <t>—</t>
        </is>
      </c>
      <c r="E9" s="9" t="inlineStr">
        <is>
          <t>—</t>
        </is>
      </c>
      <c r="F9" s="9" t="inlineStr">
        <is>
          <t>Great Wall at Mutianyu</t>
        </is>
      </c>
    </row>
    <row r="10" ht="15" customHeight="1" s="38">
      <c r="A10" s="6" t="inlineStr">
        <is>
          <t>Inbound</t>
        </is>
      </c>
      <c r="B10" s="6" t="inlineStr">
        <is>
          <t>CA783</t>
        </is>
      </c>
      <c r="C10" s="6" t="inlineStr">
        <is>
          <t>PEK → AKL</t>
        </is>
      </c>
      <c r="D10" s="6" t="inlineStr">
        <is>
          <t>Sat 8 Aug · 00:05</t>
        </is>
      </c>
      <c r="E10" s="6" t="inlineStr">
        <is>
          <t>Sat 8 Aug · 16:30</t>
        </is>
      </c>
      <c r="F10" s="6" t="inlineStr">
        <is>
          <t>12h 25m · home</t>
        </is>
      </c>
    </row>
    <row r="11">
      <c r="A11" s="25" t="inlineStr">
        <is>
          <t>Intra-Europe</t>
        </is>
      </c>
      <c r="B11" s="25" t="inlineStr">
        <is>
          <t>KLM 1796/1325</t>
        </is>
      </c>
      <c r="C11" s="25" t="inlineStr">
        <is>
          <t>MUC → AMS → TLS</t>
        </is>
      </c>
      <c r="D11" s="25" t="inlineStr">
        <is>
          <t>Tue 28 Jul · 11:50 MUC dep</t>
        </is>
      </c>
      <c r="E11" s="25" t="inlineStr">
        <is>
          <t>Tue 28 Jul · 16:15 TLS arr</t>
        </is>
      </c>
      <c r="F11" s="25" t="inlineStr">
        <is>
          <t>4h 25m · via Schiphol layover · KLM family-friendly</t>
        </is>
      </c>
    </row>
    <row r="12" ht="15" customHeight="1" s="38">
      <c r="A12" s="25" t="inlineStr">
        <is>
          <t>Intra-Europe</t>
        </is>
      </c>
    </row>
    <row r="13" ht="36" customHeight="1" s="38">
      <c r="A13" s="25" t="inlineStr">
        <is>
          <t>Intra-Europe</t>
        </is>
      </c>
      <c r="B13" s="25" t="inlineStr">
        <is>
          <t>SAS / Norwegian (TBD)</t>
        </is>
      </c>
    </row>
    <row r="14" ht="36" customHeight="1" s="38">
      <c r="A14" s="2" t="n"/>
      <c r="B14" s="2" t="n"/>
    </row>
    <row r="15" ht="36" customHeight="1" s="38">
      <c r="A15" s="34" t="inlineStr">
        <is>
          <t>BEIJING STOPOVER NOTES</t>
        </is>
      </c>
      <c r="B15" s="2" t="n"/>
    </row>
    <row r="16" ht="36" customHeight="1" s="38">
      <c r="A16" s="5" t="inlineStr">
        <is>
          <t>Outbound (10 Jul · 22 hrs)</t>
        </is>
      </c>
      <c r="B16" s="6" t="inlineStr">
        <is>
          <t>Land 04:40. Novotel T3 airside ~3hrs. Airport Express 08:00 → Dongzhimen (45min, ¥35). Forbidden City opens 08:30, allow 4hrs. Wangfujing lunch. Back T3 by midnight. CA961 02:50.</t>
        </is>
      </c>
      <c r="C16" s="40" t="n"/>
      <c r="D16" s="40" t="n"/>
      <c r="E16" s="40" t="n"/>
      <c r="F16" s="41" t="n"/>
    </row>
    <row r="17" ht="36" customHeight="1" s="38">
      <c r="A17" s="5" t="inlineStr">
        <is>
          <t>Inbound (7 Aug · 19 hrs)</t>
        </is>
      </c>
      <c r="B17" s="6" t="inlineStr">
        <is>
          <t>Land 04:45. Rest ~3hrs. Mutianyu Great Wall ~09:00 (taxi ~1.5hrs from T3). Cable car up, toboggan down. Back T3 by 21:00. CA783 00:05.</t>
        </is>
      </c>
      <c r="C17" s="40" t="n"/>
      <c r="D17" s="40" t="n"/>
      <c r="E17" s="40" t="n"/>
      <c r="F17" s="41" t="n"/>
    </row>
    <row r="18">
      <c r="A18" s="5" t="inlineStr">
        <is>
          <t>144-hr Visa-Free Transit</t>
        </is>
      </c>
      <c r="B18" s="6" t="inlineStr">
        <is>
          <t>NZ passport holders eligible. Confirm at nzembassy.com before departure.</t>
        </is>
      </c>
      <c r="C18" s="27" t="n"/>
      <c r="D18" s="27" t="n"/>
      <c r="E18" s="27" t="n"/>
      <c r="F18" s="28" t="n"/>
    </row>
    <row r="19">
      <c r="A19" s="5" t="inlineStr">
        <is>
          <t>Novotel T3</t>
        </is>
      </c>
      <c r="B19" s="6" t="inlineStr">
        <is>
          <t>Covered walkway to Terminal 3 — no visa needed to stay airside.</t>
        </is>
      </c>
      <c r="C19" s="27" t="n"/>
      <c r="D19" s="27" t="n"/>
      <c r="E19" s="27" t="n"/>
      <c r="F19" s="28" t="n"/>
    </row>
    <row r="20">
      <c r="A20" s="5" t="inlineStr">
        <is>
          <t>Airport Express</t>
        </is>
      </c>
      <c r="B20" s="6" t="inlineStr">
        <is>
          <t>T3 → Dongzhimen 45min, ¥35 (~NZD $8). Subway Line 1 to Tiananmen East (2 stops).</t>
        </is>
      </c>
      <c r="C20" s="27" t="n"/>
      <c r="D20" s="27" t="n"/>
      <c r="E20" s="27" t="n"/>
      <c r="F20" s="28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.75" customHeight="1" s="38">
      <c r="A22" s="2" t="n"/>
      <c r="B22" s="2" t="n"/>
      <c r="C22" s="2" t="n"/>
      <c r="D22" s="2" t="n"/>
      <c r="E22" s="2" t="n"/>
      <c r="F22" s="2" t="n"/>
    </row>
    <row r="23" ht="15.75" customHeight="1" s="38">
      <c r="A23" s="2" t="n"/>
      <c r="B23" s="2" t="n"/>
      <c r="C23" s="2" t="n"/>
      <c r="D23" s="2" t="n"/>
      <c r="E23" s="2" t="n"/>
      <c r="F23" s="2" t="n"/>
    </row>
    <row r="24" ht="15.75" customHeight="1" s="38">
      <c r="A24" s="2" t="n"/>
      <c r="B24" s="2" t="n"/>
      <c r="C24" s="2" t="n"/>
      <c r="D24" s="2" t="n"/>
      <c r="E24" s="2" t="n"/>
      <c r="F24" s="2" t="n"/>
    </row>
    <row r="25" ht="15.75" customHeight="1" s="38">
      <c r="A25" s="2" t="n"/>
      <c r="B25" s="2" t="n"/>
      <c r="C25" s="2" t="n"/>
      <c r="D25" s="2" t="n"/>
      <c r="E25" s="2" t="n"/>
      <c r="F25" s="2" t="n"/>
    </row>
    <row r="26" ht="15.75" customHeight="1" s="38">
      <c r="A26" s="2" t="n"/>
      <c r="B26" s="2" t="n"/>
      <c r="C26" s="2" t="n"/>
      <c r="D26" s="2" t="n"/>
      <c r="E26" s="2" t="n"/>
      <c r="F26" s="2" t="n"/>
    </row>
    <row r="27" ht="15.75" customHeight="1" s="38">
      <c r="A27" s="2" t="n"/>
      <c r="B27" s="2" t="n"/>
      <c r="C27" s="2" t="n"/>
      <c r="D27" s="2" t="n"/>
      <c r="E27" s="2" t="n"/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" t="n"/>
      <c r="B29" s="2" t="n"/>
      <c r="C29" s="2" t="n"/>
      <c r="D29" s="2" t="n"/>
      <c r="E29" s="2" t="n"/>
      <c r="F29" s="2" t="n"/>
    </row>
    <row r="30" ht="15.75" customHeight="1" s="38">
      <c r="A30" s="2" t="n"/>
      <c r="B30" s="2" t="n"/>
      <c r="C30" s="2" t="n"/>
      <c r="D30" s="2" t="n"/>
      <c r="E30" s="2" t="n"/>
      <c r="F30" s="2" t="n"/>
    </row>
    <row r="31" ht="15.75" customHeight="1" s="38">
      <c r="A31" s="2" t="n"/>
      <c r="B31" s="2" t="n"/>
      <c r="C31" s="2" t="n"/>
      <c r="D31" s="2" t="n"/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8">
    <mergeCell ref="A2:F2"/>
    <mergeCell ref="B16:F16"/>
    <mergeCell ref="B15:F15"/>
    <mergeCell ref="A1:F1"/>
    <mergeCell ref="A12:F12"/>
    <mergeCell ref="B14:F14"/>
    <mergeCell ref="B17:F17"/>
    <mergeCell ref="B13:F13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38" min="1" max="6"/>
    <col width="73.29000000000001" customWidth="1" style="38" min="9" max="9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Country</t>
        </is>
      </c>
      <c r="D1" s="4" t="inlineStr">
        <is>
          <t>City</t>
        </is>
      </c>
      <c r="E1" s="4" t="inlineStr">
        <is>
          <t>Hotel</t>
        </is>
      </c>
      <c r="F1" s="4" t="inlineStr">
        <is>
          <t>From → To</t>
        </is>
      </c>
      <c r="G1" s="4" t="inlineStr">
        <is>
          <t>Distance / Time</t>
        </is>
      </c>
      <c r="H1" s="4" t="inlineStr">
        <is>
          <t>Start Time</t>
        </is>
      </c>
      <c r="I1" s="4" t="inlineStr">
        <is>
          <t>Description</t>
        </is>
      </c>
      <c r="J1" s="2" t="inlineStr">
        <is>
          <t>Parking</t>
        </is>
      </c>
      <c r="K1" s="2" t="inlineStr">
        <is>
          <t>Cost</t>
        </is>
      </c>
    </row>
    <row r="2">
      <c r="A2" s="6" t="n">
        <v>-1</v>
      </c>
      <c r="B2" s="6" t="n"/>
      <c r="C2" s="6" t="n"/>
      <c r="D2" s="6" t="n"/>
      <c r="E2" s="11" t="inlineStr">
        <is>
          <t>Airchina</t>
        </is>
      </c>
      <c r="F2" s="6" t="n"/>
      <c r="G2" s="6" t="n"/>
      <c r="H2" s="6" t="n"/>
      <c r="I2" s="6" t="n"/>
      <c r="K2" s="12" t="n">
        <v>11560</v>
      </c>
    </row>
    <row r="3">
      <c r="A3" s="6" t="n">
        <v>0</v>
      </c>
      <c r="B3" s="6" t="inlineStr">
        <is>
          <t>Sat 11 Jul</t>
        </is>
      </c>
      <c r="C3" s="6" t="inlineStr">
        <is>
          <t>Germany 🇩🇪</t>
        </is>
      </c>
      <c r="D3" s="6" t="inlineStr">
        <is>
          <t>Munich</t>
        </is>
      </c>
      <c r="E3" s="11" t="inlineStr">
        <is>
          <t>Budget Car Rental</t>
        </is>
      </c>
      <c r="F3" s="6" t="n"/>
      <c r="G3" s="6" t="n"/>
      <c r="H3" s="6" t="inlineStr">
        <is>
          <t>8.30am</t>
        </is>
      </c>
      <c r="I3" s="6" t="inlineStr">
        <is>
          <t>Car rental</t>
        </is>
      </c>
      <c r="K3" s="12" t="n">
        <v>1372.08</v>
      </c>
    </row>
    <row r="4">
      <c r="A4" s="6" t="n">
        <v>1</v>
      </c>
      <c r="B4" s="6" t="inlineStr">
        <is>
          <t>Sat 11 Jul</t>
        </is>
      </c>
      <c r="C4" s="6" t="inlineStr">
        <is>
          <t>Austria 🇦🇹</t>
        </is>
      </c>
      <c r="D4" s="6" t="inlineStr">
        <is>
          <t>Burg Altpernstein (Upper Austria)</t>
        </is>
      </c>
      <c r="E4" s="13" t="inlineStr">
        <is>
          <t>Burg Altpernstein (Altpernstein 1, 4563 Micheldorf, Austria)</t>
        </is>
      </c>
      <c r="F4" s="6" t="inlineStr">
        <is>
          <t>Munich (land) → Burg Altpernstein</t>
        </is>
      </c>
      <c r="G4" s="6" t="inlineStr">
        <is>
          <t>~290 km · ~3 hrs</t>
        </is>
      </c>
      <c r="H4" s="6" t="inlineStr">
        <is>
          <t>Drive ~10:00 (after car pickup)</t>
        </is>
      </c>
      <c r="I4" s="6" t="inlineStr">
        <is>
          <t>Land MUC T2 07:05. Collect rental car ~09:00. Drive directly south-east to Burg Altpernstein castle hotel in Upper Austria. Check in afternoon. Saturday Vigil Mass at Stiftskirche Spital am Pyhrn (~30 min south, 7 PM). Castle dinner.</t>
        </is>
      </c>
      <c r="K4" s="6" t="n">
        <v>732</v>
      </c>
    </row>
    <row r="5">
      <c r="A5" s="6" t="n">
        <v>2</v>
      </c>
      <c r="B5" s="6" t="inlineStr">
        <is>
          <t>Sun 12 Jul</t>
        </is>
      </c>
      <c r="C5" s="6" t="inlineStr">
        <is>
          <t>Austria 🇦🇹</t>
        </is>
      </c>
      <c r="D5" s="6" t="inlineStr">
        <is>
          <t>Burg Altpernstein (Upper Austria)</t>
        </is>
      </c>
      <c r="E5" s="13" t="inlineStr">
        <is>
          <t>Burg Altpernstein</t>
        </is>
      </c>
      <c r="F5" s="6" t="inlineStr">
        <is>
          <t>Burg base · day-trip Salzburg+Hallstatt OR Hallstatt only OR Salzkammergut</t>
        </is>
      </c>
      <c r="G5" s="6" t="inlineStr">
        <is>
          <t>Optional ~80 km / 1.5 hrs each way to Hallstatt</t>
        </is>
      </c>
      <c r="H5" s="6" t="inlineStr">
        <is>
          <t>09:00 Mass · day flexible</t>
        </is>
      </c>
      <c r="I5" s="6" t="inlineStr">
        <is>
          <t>Day-trip options: Hallstatt half-day OR Salzburg + Hallstatt (Residenzplatz, Felsenreitschule, Mozart, Hohensalzburg) OR full Salzkammergut. ⛪ Sun Mass already covered by Sat Vigil.</t>
        </is>
      </c>
      <c r="K5" s="39" t="n"/>
    </row>
    <row r="6">
      <c r="A6" s="6" t="n">
        <v>3</v>
      </c>
      <c r="B6" s="6" t="inlineStr">
        <is>
          <t>Mon 13 Jul</t>
        </is>
      </c>
      <c r="C6" s="6" t="inlineStr">
        <is>
          <t>Czechia 🇨🇿</t>
        </is>
      </c>
      <c r="D6" s="6" t="inlineStr">
        <is>
          <t>Prague</t>
        </is>
      </c>
      <c r="E6" s="13" t="inlineStr">
        <is>
          <t>Gold Art Apartment</t>
        </is>
      </c>
      <c r="F6" s="6" t="inlineStr">
        <is>
          <t>Burg Altpernstein → Prague</t>
        </is>
      </c>
      <c r="G6" s="6" t="inlineStr">
        <is>
          <t>~430 km · 4.5–5 hrs</t>
        </is>
      </c>
      <c r="H6" s="9" t="inlineStr">
        <is>
          <t>08:00</t>
        </is>
      </c>
      <c r="I6" s="6" t="inlineStr">
        <is>
          <t>Drive north to Prague. Arrive mid-afternoon — Charles Bridge at golden hour, Old Town Square, Czech beer hall. Check in to Gold Art Apartment. 🧺 LAUNDRY DROP: Prague Andy's Laundromat (Korunní 14, Vinohrady) — open 9am–8pm daily, ~€10–15 family load, cards OK, English-speaking. Drop on arrival, pick up before dinner.</t>
        </is>
      </c>
      <c r="K6" s="6" t="n">
        <v>630</v>
      </c>
    </row>
    <row r="7">
      <c r="A7" s="6" t="n">
        <v>4</v>
      </c>
      <c r="B7" s="6" t="inlineStr">
        <is>
          <t>Tue 14 Jul</t>
        </is>
      </c>
      <c r="C7" s="6" t="inlineStr">
        <is>
          <t>Czechia 🇨🇿</t>
        </is>
      </c>
      <c r="D7" s="6" t="inlineStr">
        <is>
          <t>Prague</t>
        </is>
      </c>
      <c r="E7" s="13" t="inlineStr">
        <is>
          <t>Gold Art Apartment</t>
        </is>
      </c>
      <c r="F7" s="6" t="inlineStr">
        <is>
          <t>Prague (full day)</t>
        </is>
      </c>
      <c r="G7" s="6" t="inlineStr">
        <is>
          <t>—</t>
        </is>
      </c>
      <c r="H7" s="6" t="inlineStr">
        <is>
          <t>Full day</t>
        </is>
      </c>
      <c r="I7" s="6" t="inlineStr">
        <is>
          <t>Prague Castle &amp; St. Vitus Cathedral, Josefov Jewish Quarter, Wenceslas Square, Vltava river cruise.</t>
        </is>
      </c>
      <c r="K7" s="39" t="n"/>
    </row>
    <row r="8">
      <c r="A8" s="6" t="n">
        <v>5</v>
      </c>
      <c r="B8" s="6" t="inlineStr">
        <is>
          <t>Wed 15 Jul</t>
        </is>
      </c>
      <c r="C8" s="6" t="inlineStr">
        <is>
          <t>Austria 🇦🇹</t>
        </is>
      </c>
      <c r="D8" s="6" t="inlineStr">
        <is>
          <t>Vienna</t>
        </is>
      </c>
      <c r="E8" s="13" t="inlineStr">
        <is>
          <t>The Levante Laudon</t>
        </is>
      </c>
      <c r="F8" s="6" t="inlineStr">
        <is>
          <t>Prague → Vienna</t>
        </is>
      </c>
      <c r="G8" s="6" t="inlineStr">
        <is>
          <t>~320 km · 3.5–4 hrs</t>
        </is>
      </c>
      <c r="H8" s="6" t="inlineStr">
        <is>
          <t>11:00</t>
        </is>
      </c>
      <c r="I8" s="6" t="inlineStr">
        <is>
          <t>Morning Prague Castle area. Drive south, arrive lunch. Schönbrunn Palace, Ringstrasse, Naschmarkt, Sachertorte at Café Sacher.</t>
        </is>
      </c>
      <c r="K8" s="6" t="n">
        <v>330</v>
      </c>
    </row>
    <row r="9">
      <c r="A9" s="6" t="n">
        <v>6</v>
      </c>
      <c r="B9" s="6" t="inlineStr">
        <is>
          <t>Thu 16 Jul</t>
        </is>
      </c>
      <c r="C9" s="6" t="inlineStr">
        <is>
          <t>Hungary 🇭🇺</t>
        </is>
      </c>
      <c r="D9" s="6" t="inlineStr">
        <is>
          <t>Budapest</t>
        </is>
      </c>
      <c r="E9" s="13" t="inlineStr">
        <is>
          <t>City Home Budapest</t>
        </is>
      </c>
      <c r="F9" s="6" t="inlineStr">
        <is>
          <t>Vienna → Budapest</t>
        </is>
      </c>
      <c r="G9" s="6" t="inlineStr">
        <is>
          <t>~270 km · 2.5–3.5 hrs</t>
        </is>
      </c>
      <c r="H9" s="6" t="inlineStr">
        <is>
          <t>10:00</t>
        </is>
      </c>
      <c r="I9" s="6" t="inlineStr">
        <is>
          <t>Drive Vienna→Budapest. 🧺 LAUNDRY DROP on arrival ~14:00: walk 7 min from City Home to self-service laundry at Dohány u. 37 (cash only HUF/€, ~3,000 HUF / €7.50, open 9am–10pm). Drop, then sightsee while it washes (~3 hrs). Park at City Home underground garage (~€20/night). Walk to Castle Hill via Chain Bridge — funicular up to Fisherman's Bastion, Matthias Church, Buda Castle exterior. Pick up clean clothes ~17:30. Széchenyi Thermal Baths via M1 metro from Oktogon. Goulash dinner; kürtőskalács for the kids. Parliament view from Buda side at sunset.</t>
        </is>
      </c>
      <c r="K9" s="6" t="n">
        <v>284</v>
      </c>
    </row>
    <row r="10">
      <c r="A10" s="6" t="n">
        <v>7</v>
      </c>
      <c r="B10" s="6" t="inlineStr">
        <is>
          <t>Fri 17 Jul</t>
        </is>
      </c>
      <c r="C10" s="6" t="inlineStr">
        <is>
          <t>Italy 🇮🇹 (via 🇸🇮)</t>
        </is>
      </c>
      <c r="D10" s="6" t="inlineStr">
        <is>
          <t>Venice / Mestre (mainland)</t>
        </is>
      </c>
      <c r="E10" s="13" t="inlineStr">
        <is>
          <t>Trilocale Venezia Mestre · 5 min Stazione</t>
        </is>
      </c>
      <c r="F10" s="6" t="inlineStr">
        <is>
          <t>Budapest → Bled stop → Mestre</t>
        </is>
      </c>
      <c r="G10" s="6" t="inlineStr">
        <is>
          <t>~530 km · 8–9 hrs</t>
        </is>
      </c>
      <c r="H10" s="9" t="inlineStr">
        <is>
          <t>07:30</t>
        </is>
      </c>
      <c r="I10" s="6" t="inlineStr">
        <is>
          <t>Bled, Slovenia 2.5hr stop — emerald glacial lake, castle, kremšnita cake. Continue to Mestre (mainland Venice). Park free at hotel (much better than €30/day Piazzale Roma garage). Quick freshen-up, then train Mestre → Venezia Santa Lucia (~10 min, ~€1.50, every 5–10 min) for evening on the islands.</t>
        </is>
      </c>
      <c r="K10" s="2" t="n"/>
    </row>
    <row r="11">
      <c r="A11" s="6" t="n">
        <v>8</v>
      </c>
      <c r="B11" s="6" t="inlineStr">
        <is>
          <t>Sat 18 Jul</t>
        </is>
      </c>
      <c r="C11" s="6" t="inlineStr">
        <is>
          <t>Italy 🇮🇹</t>
        </is>
      </c>
      <c r="D11" s="6" t="inlineStr">
        <is>
          <t>Venice / Mestre (mainland)</t>
        </is>
      </c>
      <c r="E11" s="13" t="inlineStr">
        <is>
          <t>Trilocale Venezia Mestre · 5 min Stazione</t>
        </is>
      </c>
      <c r="F11" s="6" t="inlineStr">
        <is>
          <t>Venice (full day)</t>
        </is>
      </c>
      <c r="G11" s="6" t="inlineStr">
        <is>
          <t>—</t>
        </is>
      </c>
      <c r="H11" s="6" t="inlineStr">
        <is>
          <t>Full day</t>
        </is>
      </c>
      <c r="I11" s="6" t="inlineStr">
        <is>
          <t>Full day on Venice islands. Train Mestre → Santa Lucia (~10 min). Gondola ride, St. Mark's Basilica &amp; Doge's Palace, Rialto Bridge, vaporetto to Burano. Train back to Mestre evening. 🧺 OPTIONAL top-up wash: BIO LAVATU at Viale San Marco 98 (300m / 4-min walk, same street as hotel) — only if you didn't do Budapest, or if kids' clothes are particularly grimy from the boat day.</t>
        </is>
      </c>
    </row>
    <row r="12">
      <c r="A12" s="6" t="n">
        <v>9</v>
      </c>
      <c r="B12" s="6" t="inlineStr">
        <is>
          <t>Sun 19 Jul</t>
        </is>
      </c>
      <c r="C12" s="6" t="inlineStr">
        <is>
          <t>Italy 🇮🇹</t>
        </is>
      </c>
      <c r="D12" s="6" t="inlineStr">
        <is>
          <t>Florence</t>
        </is>
      </c>
      <c r="E12" s="13" t="inlineStr">
        <is>
          <t>Garden Blue (San Gallo / Campo Grande)</t>
        </is>
      </c>
      <c r="F12" s="6" t="inlineStr">
        <is>
          <t>Venice → Florence</t>
        </is>
      </c>
      <c r="G12" s="6" t="inlineStr">
        <is>
          <t>~270 km · 3–3.5 hrs</t>
        </is>
      </c>
      <c r="H12" s="6" t="inlineStr">
        <is>
          <t>10:00</t>
        </is>
      </c>
      <c r="I12" s="6" t="inlineStr">
        <is>
          <t>Drive Mestre→Florence (~270 km · 3–3.5 hrs · start 10:00). La Farina Apartments — eastern Florence near Campo di Marte, has parking, ~10–15 min walk or short bus to Duomo. Apartment has kitchen, Nespresso, dishwasher. Afternoon: Duomo &amp; Baptistery, Ponte Vecchio, Piazzale Michelangelo at golden hour. 🧺 Building basement coin-op laundromat available (get coins from reception) — convenient for next cycle wash on Day 12 Rome timing.</t>
        </is>
      </c>
    </row>
    <row r="13">
      <c r="A13" s="6" t="n">
        <v>10</v>
      </c>
      <c r="B13" s="6" t="inlineStr">
        <is>
          <t>Mon 20 Jul</t>
        </is>
      </c>
      <c r="C13" s="6" t="inlineStr">
        <is>
          <t>Italy 🇮🇹 (via 🇺 Umbria)</t>
        </is>
      </c>
      <c r="D13" s="6" t="inlineStr">
        <is>
          <t>Rome (Aurelio · west of Vatican)</t>
        </is>
      </c>
      <c r="E13" s="13" t="inlineStr">
        <is>
          <t>Auri apartment (near Vatican Museums)</t>
        </is>
      </c>
      <c r="F13" s="6" t="inlineStr">
        <is>
          <t>Florence → Pisa → Montecchio → Perugia → Rome</t>
        </is>
      </c>
      <c r="G13" s="6" t="inlineStr">
        <is>
          <t>~570 km · 8+ hrs (incl stops)</t>
        </is>
      </c>
      <c r="H13" s="6" t="inlineStr">
        <is>
          <t>09:00 from Florence</t>
        </is>
      </c>
      <c r="I13" s="6" t="inlineStr">
        <is>
          <t>TRAVEL DAY: Florence→Rome via Tuscany+Umbria. Stops: Pisa (Tower photo, ~1hr), Castello di Montecchio Vesponi (~30min), Perugia (Palazzo dei Priori + Arco Etrusco, ~1hr). Arrive Rome ~19:30, check in DaBrieBra Vaticano (Aurelio · 17min walk Vatican). Evening: Cipro metro→Spagna→Trevi Fountain at night (lit, less crowded). ⚠️ Long day · drop Pisa OR Montecchio if kids fading.</t>
        </is>
      </c>
    </row>
    <row r="14">
      <c r="A14" s="6" t="n">
        <v>11</v>
      </c>
      <c r="B14" s="6" t="inlineStr">
        <is>
          <t>Tue 21 Jul</t>
        </is>
      </c>
      <c r="C14" s="6" t="inlineStr">
        <is>
          <t>Italy 🇮🇹</t>
        </is>
      </c>
      <c r="D14" s="6" t="inlineStr">
        <is>
          <t>Rome (Aurelio · west of Vatican)</t>
        </is>
      </c>
      <c r="E14" s="13" t="inlineStr">
        <is>
          <t>Auri apartment (near Vatican Museums)</t>
        </is>
      </c>
      <c r="F14" s="6" t="inlineStr">
        <is>
          <t>Rome → Villa Balke → Pompeii → Castello di Lettere → Rome</t>
        </is>
      </c>
      <c r="G14" s="6" t="inlineStr">
        <is>
          <t>~480 km round · 6+ hrs driving</t>
        </is>
      </c>
      <c r="H14" s="9" t="inlineStr">
        <is>
          <t>07:30 from Rome</t>
        </is>
      </c>
      <c r="I14" s="6" t="inlineStr">
        <is>
          <t>Pompeii + Naples coast day trip from Rome. 07:30 leave · 10:30 lunch at Villa Balke (Torre del Greco, 4.6★) · 12:30–15:00 Pompeii archaeological site (pre-book pompeiisites.org) · 15:30 Castello di Lettere quick stop (Vesuvius views) · ~16:30 drive back to Rome. Optional evening: Cipro→San Giovanni metro for Basilica of San Giovanni in Laterano (Cathedral of Rome, daily Mass 18:00). Skip San Giovanni if exhausted, see Day 12 morning.</t>
        </is>
      </c>
    </row>
    <row r="15">
      <c r="A15" s="6" t="n">
        <v>12</v>
      </c>
      <c r="B15" s="6" t="inlineStr">
        <is>
          <t>Wed 22 Jul</t>
        </is>
      </c>
      <c r="C15" s="6" t="inlineStr">
        <is>
          <t>Italy 🇮🇹 / Vatican City</t>
        </is>
      </c>
      <c r="D15" s="6" t="inlineStr">
        <is>
          <t>Rome — Vatican walking day</t>
        </is>
      </c>
      <c r="E15" s="13" t="inlineStr">
        <is>
          <t>Auri apartment (near Vatican Museums)</t>
        </is>
      </c>
      <c r="F15" s="6" t="inlineStr">
        <is>
          <t>Walking day (no driving)</t>
        </is>
      </c>
      <c r="G15" s="6" t="inlineStr">
        <is>
          <t>~10 km on foot</t>
        </is>
      </c>
      <c r="H15" s="6" t="inlineStr">
        <is>
          <t>07:00 leave hotel</t>
        </is>
      </c>
      <c r="I15" s="6" t="inlineStr">
        <is>
          <t>VATICAN DAY · the trip's biggest single day (~10km walking). 08:30 walk 17min to Vatican Museums entrance. 09:00 Vatican Museums (pre-booked museivaticani.va) · Gallery of Maps · Sistine Chapel. Use chapel-to-basilica shortcut into St. Peter's. Lunch in Borgo Pio (skip Via della Conciliazione tourist traps). Castel Sant'Angelo + Bridge of Angels. Walk to Piazza Navona for evening. Dinner around Piazza Navona, gelato Tre Scalini (truffle). Taxi back to hotel. Daily Mass at St. Peter's 17:00 (Italian) for today's Mass.</t>
        </is>
      </c>
    </row>
    <row r="16">
      <c r="A16" s="6" t="n">
        <v>13</v>
      </c>
      <c r="B16" s="6" t="inlineStr">
        <is>
          <t>Thu 23 Jul</t>
        </is>
      </c>
      <c r="C16" s="6" t="inlineStr">
        <is>
          <t>Italy 🇮🇹</t>
        </is>
      </c>
      <c r="D16" s="6" t="inlineStr">
        <is>
          <t>Milan</t>
        </is>
      </c>
      <c r="E16" s="6" t="inlineStr">
        <is>
          <t>TBD</t>
        </is>
      </c>
      <c r="F16" s="6" t="inlineStr">
        <is>
          <t>Rome → Florence stop → Milan</t>
        </is>
      </c>
      <c r="G16" s="6" t="inlineStr">
        <is>
          <t>~580 km · 6.5–7.5 hrs</t>
        </is>
      </c>
      <c r="H16" s="9" t="inlineStr">
        <is>
          <t>07:30</t>
        </is>
      </c>
      <c r="I16" s="6" t="inlineStr">
        <is>
          <t>Drive north. Florence stop ~1.5hrs — coffee at Piazzale Michelangelo. Milan — Duomo, Galleria, Navigli canal dinner.</t>
        </is>
      </c>
    </row>
    <row r="17">
      <c r="A17" s="6" t="n">
        <v>14</v>
      </c>
      <c r="B17" s="6" t="inlineStr">
        <is>
          <t>Fri 24 Jul</t>
        </is>
      </c>
      <c r="C17" s="6" t="inlineStr">
        <is>
          <t>Switzerland 🇨🇭</t>
        </is>
      </c>
      <c r="D17" s="6" t="inlineStr">
        <is>
          <t>Stalden (Valais)</t>
        </is>
      </c>
      <c r="E17" s="6" t="inlineStr">
        <is>
          <t>Postman 8 · Room 3 (Kirchweg 8, 3922 Stalden)</t>
        </is>
      </c>
      <c r="F17" s="6" t="inlineStr">
        <is>
          <t>Milan (half-day) → Stalden</t>
        </is>
      </c>
      <c r="G17" s="6" t="inlineStr">
        <is>
          <t>~290 km · 3.5–4 hrs (incl. Simplon)</t>
        </is>
      </c>
      <c r="H17" s="6" t="inlineStr">
        <is>
          <t>08:30 Duomo · 14:30 leave Milan</t>
        </is>
      </c>
      <c r="I17" s="6" t="inlineStr">
        <is>
          <t>MORNING MILAN: Duomo + rooftop terrace, Galleria Vittorio Emanuele II, Brera lunch. AFTERNOON: drive Milan → Stalden via Lugano + Simplon Pass. Arrive Stalden ~18:00.</t>
        </is>
      </c>
    </row>
    <row r="18">
      <c r="A18" s="6" t="n">
        <v>15</v>
      </c>
      <c r="B18" s="6" t="inlineStr">
        <is>
          <t>Sat 25 Jul</t>
        </is>
      </c>
      <c r="C18" s="6" t="inlineStr">
        <is>
          <t>Switzerland 🇨🇭</t>
        </is>
      </c>
      <c r="D18" s="6" t="inlineStr">
        <is>
          <t>Moléson-sur-Gruyères (Fribourg)</t>
        </is>
      </c>
      <c r="E18" s="6" t="inlineStr">
        <is>
          <t>La Pierre à Catillon (Route de Moléson 228, 1663)</t>
        </is>
      </c>
      <c r="F18" s="6" t="inlineStr">
        <is>
          <t>Stalden ↔ Zermatt (Gornergrat) → Moléson</t>
        </is>
      </c>
      <c r="G18" s="6" t="inlineStr">
        <is>
          <t>Train 30min·Stalden→Zermatt · ~190 km drive</t>
        </is>
      </c>
      <c r="H18" s="9" t="inlineStr">
        <is>
          <t>~07:00 Gornergrat · 13:00 leave Stalden</t>
        </is>
      </c>
      <c r="I18" s="6" t="inlineStr">
        <is>
          <t>GORNERGRAT MORNING: train Stalden → Zermatt → Gornergrat (3,089m). Back Stalden ~12:00. Drive to Moléson. Sat Vigil at Église Saint-Théodule Gruyères or Saint-Pierre-aux-Liens Bulle.</t>
        </is>
      </c>
    </row>
    <row r="19">
      <c r="A19" s="6" t="n">
        <v>16</v>
      </c>
      <c r="B19" s="6" t="inlineStr">
        <is>
          <t>Sun 26 Jul</t>
        </is>
      </c>
      <c r="C19" s="6" t="inlineStr">
        <is>
          <t>Switzerland 🇨🇭</t>
        </is>
      </c>
      <c r="D19" s="6" t="inlineStr">
        <is>
          <t>Moléson-sur-Gruyères (Fribourg)</t>
        </is>
      </c>
      <c r="E19" s="6" t="inlineStr">
        <is>
          <t>La Pierre à Catillon (same hotel, 2nd night)</t>
        </is>
      </c>
      <c r="F19" s="6" t="inlineStr">
        <is>
          <t>Moléson → Geneva day trip → Moléson</t>
        </is>
      </c>
      <c r="G19" s="6" t="inlineStr">
        <is>
          <t>~80 km / 1h 15min each way</t>
        </is>
      </c>
      <c r="H19" s="6" t="inlineStr">
        <is>
          <t>08:30 leave (or 10:00 if Sat Vigil done)</t>
        </is>
      </c>
      <c r="I19" s="6" t="inlineStr">
        <is>
          <t>Geneva day-trip from Moléson — SIGHTSEEING ONLY (Sat Vigil covers Sun obligation). Old Town, Cathédrale Saint-Pierre, Jet d'Eau, Bains des Pâquis. Return Moléson ~19:00.</t>
        </is>
      </c>
    </row>
    <row r="20">
      <c r="A20" s="6" t="n">
        <v>17</v>
      </c>
      <c r="B20" s="6" t="inlineStr">
        <is>
          <t>Mon 27 Jul</t>
        </is>
      </c>
      <c r="C20" s="6" t="inlineStr">
        <is>
          <t>Germany 🇩🇪 (via 🇨🇭)</t>
        </is>
      </c>
      <c r="D20" s="6" t="inlineStr">
        <is>
          <t>Ottobeuren (Bavaria)</t>
        </is>
      </c>
      <c r="E20" s="6" t="inlineStr">
        <is>
          <t>Hotel Hirsch (Marktplatz 12)</t>
        </is>
      </c>
      <c r="F20" s="6" t="inlineStr">
        <is>
          <t>Moléson → Bern stop → Ottobeuren</t>
        </is>
      </c>
      <c r="G20" s="6" t="inlineStr">
        <is>
          <t>~480 km · 5h drive + 3h Bern</t>
        </is>
      </c>
      <c r="H20" s="6" t="inlineStr">
        <is>
          <t>08:00 leave Moléson</t>
        </is>
      </c>
      <c r="I20" s="6" t="inlineStr">
        <is>
          <t>Drive Moléson → Bern (~1h). 3-hr Bern stop. Cross Swiss-German border. Ottobeuren via A81/A7. Bavarian dinner at Hirsch.</t>
        </is>
      </c>
    </row>
    <row r="21" ht="15.75" customHeight="1" s="38">
      <c r="A21" s="6" t="n">
        <v>18</v>
      </c>
      <c r="B21" s="6" t="inlineStr">
        <is>
          <t>Tue 28 Jul</t>
        </is>
      </c>
      <c r="C21" s="6" t="inlineStr">
        <is>
          <t>France 🇫🇷</t>
        </is>
      </c>
      <c r="D21" s="6" t="inlineStr">
        <is>
          <t>Lourdes</t>
        </is>
      </c>
      <c r="E21" s="6" t="inlineStr">
        <is>
          <t>Hôtel Atrium Mondial (19 Av. du Paradis, Lourdes) ✓ Booked</t>
        </is>
      </c>
      <c r="F21" s="6" t="inlineStr">
        <is>
          <t>Ottobeuren → MUC drop → KLM via AMS → TLS → Lourdes</t>
        </is>
      </c>
      <c r="G21" s="6" t="inlineStr">
        <is>
          <t>145 km + KLM 4h25m + 150 km</t>
        </is>
      </c>
      <c r="H21" s="9" t="inlineStr">
        <is>
          <t>09:00 from Ottobeuren</t>
        </is>
      </c>
      <c r="I21" s="6" t="inlineStr">
        <is>
          <t>KLM 11:50 MUC→AMS→TLS 16:15. Pick up TLS rental. Drive to Lourdes 19:00. 21:00 Torch Procession at Sanctuary.</t>
        </is>
      </c>
    </row>
    <row r="22" ht="15.75" customHeight="1" s="38">
      <c r="A22" s="6" t="n">
        <v>19</v>
      </c>
      <c r="B22" s="6" t="inlineStr">
        <is>
          <t>Wed 29 Jul</t>
        </is>
      </c>
      <c r="C22" s="6" t="inlineStr">
        <is>
          <t>Netherlands 🇳🇱</t>
        </is>
      </c>
      <c r="D22" s="6" t="inlineStr">
        <is>
          <t>Amsterdam</t>
        </is>
      </c>
      <c r="E22" s="6" t="inlineStr">
        <is>
          <t>Cousin's home 💚</t>
        </is>
      </c>
      <c r="F22" s="6" t="inlineStr">
        <is>
          <t>Lourdes → TLS drop → TGV → Paris → Eurostar → AMS</t>
        </is>
      </c>
      <c r="G22" s="6" t="inlineStr">
        <is>
          <t>150 km + TGV 4h15m + Eurostar 3h20m</t>
        </is>
      </c>
      <c r="H22" s="9" t="inlineStr">
        <is>
          <t>05:00 wake / 06:00 leave</t>
        </is>
      </c>
      <c r="I22" s="6" t="inlineStr">
        <is>
          <t>Train day. 10:20 TGV Toulouse → Paris 14:35. Cross Paris (Métro/Uber). Eurostar ~16:00 → AMS Centraal 19:20.</t>
        </is>
      </c>
    </row>
    <row r="23" ht="15.75" customHeight="1" s="38">
      <c r="A23" s="7" t="n">
        <v>20</v>
      </c>
      <c r="B23" s="7" t="inlineStr">
        <is>
          <t>Thu 30 Jul</t>
        </is>
      </c>
      <c r="C23" s="7" t="inlineStr">
        <is>
          <t>France 🇫🇷</t>
        </is>
      </c>
      <c r="D23" s="7" t="inlineStr">
        <is>
          <t>Paris suburb (Le Kremlin-Bicêtre)</t>
        </is>
      </c>
      <c r="E23" s="7" t="inlineStr">
        <is>
          <t>ibis budget Paris Porte d Italie Ouest (Le Kremlin-Bicêtre · 2 rooms) ✓ Booked · FREE parking</t>
        </is>
      </c>
      <c r="F23" s="7" t="inlineStr">
        <is>
          <t>AMS → Brussels → Paris</t>
        </is>
      </c>
      <c r="G23" s="7" t="inlineStr">
        <is>
          <t>~520 km · 5h 30min</t>
        </is>
      </c>
      <c r="H23" s="7" t="inlineStr">
        <is>
          <t>08:00 leave AMS</t>
        </is>
      </c>
      <c r="I23" s="7" t="inlineStr">
        <is>
          <t>AMS → Brussels stop → ibis budget LK-B (free parking · Métro to Paris). Eiffel + Seine cruise evening.</t>
        </is>
      </c>
    </row>
    <row r="24" ht="15.75" customHeight="1" s="38">
      <c r="A24" s="6" t="n">
        <v>21</v>
      </c>
      <c r="B24" s="6" t="inlineStr">
        <is>
          <t>Fri 31 Jul</t>
        </is>
      </c>
      <c r="C24" s="6" t="inlineStr">
        <is>
          <t>France 🇫🇷 → 🇳🇱</t>
        </is>
      </c>
      <c r="D24" s="6" t="inlineStr">
        <is>
          <t>Paris day → AMS</t>
        </is>
      </c>
      <c r="E24" s="6" t="inlineStr">
        <is>
          <t>Cousin's home, Amsterdam 💚</t>
        </is>
      </c>
      <c r="F24" s="6" t="inlineStr">
        <is>
          <t>Paris (walking) → drive AMS (5h)</t>
        </is>
      </c>
      <c r="G24" s="6" t="inlineStr">
        <is>
          <t>~510 km · 5h drive</t>
        </is>
      </c>
      <c r="H24" s="6" t="inlineStr">
        <is>
          <t>09:00 sleep-in · 16:00 leave Paris</t>
        </is>
      </c>
      <c r="I24" s="6" t="inlineStr">
        <is>
          <t>Paris morning Louvre + Sainte-Chapelle + Île de la Cité · drive AMS afternoon. Sleep cousin's.</t>
        </is>
      </c>
    </row>
    <row r="25" ht="15.75" customHeight="1" s="38">
      <c r="A25" s="6" t="n">
        <v>22</v>
      </c>
      <c r="B25" s="6" t="inlineStr">
        <is>
          <t>Sat 1 Aug</t>
        </is>
      </c>
      <c r="C25" s="6" t="inlineStr">
        <is>
          <t>Netherlands 🇳🇱</t>
        </is>
      </c>
      <c r="D25" s="6" t="inlineStr">
        <is>
          <t>Amsterdam (rest)</t>
        </is>
      </c>
      <c r="E25" s="6" t="inlineStr">
        <is>
          <t>Cousin's home 💚</t>
        </is>
      </c>
      <c r="F25" s="6" t="inlineStr">
        <is>
          <t>AMS local · no driving</t>
        </is>
      </c>
      <c r="G25" s="6" t="inlineStr">
        <is>
          <t>— foot/tram</t>
        </is>
      </c>
      <c r="H25" s="6" t="inlineStr">
        <is>
          <t>Slow morning</t>
        </is>
      </c>
      <c r="I25" s="6" t="inlineStr">
        <is>
          <t>REST day with cousin. Canals, Anne Frank, Vondelpark, Jordaan. Sat 17:00 Vigil at Sint-Nicolaaskerk AMS.</t>
        </is>
      </c>
    </row>
    <row r="26" ht="15.75" customHeight="1" s="38">
      <c r="A26" s="7" t="n">
        <v>23</v>
      </c>
      <c r="B26" s="7" t="inlineStr">
        <is>
          <t>Sun 2 Aug</t>
        </is>
      </c>
      <c r="C26" s="7" t="inlineStr">
        <is>
          <t>Denmark 🇩🇰</t>
        </is>
      </c>
      <c r="D26" s="7" t="inlineStr">
        <is>
          <t>Copenhagen</t>
        </is>
      </c>
      <c r="E26" s="7" t="inlineStr">
        <is>
          <t>Danhostel Copenhagen City (H. C. Andersens Boulevard 50) ✓ Booked</t>
        </is>
      </c>
      <c r="F26" s="7" t="inlineStr">
        <is>
          <t>AMS → fly KLM AMS→CPH</t>
        </is>
      </c>
      <c r="G26" s="7" t="inlineStr">
        <is>
          <t>✈ 1h 25min</t>
        </is>
      </c>
      <c r="H26" s="7" t="inlineStr">
        <is>
          <t>10:00 Sun Mass / 17:00 airport</t>
        </is>
      </c>
      <c r="I26" s="7" t="inlineStr">
        <is>
          <t>AMS Sun Mass at Sint-Nicolaaskerk 10:30. Brunch with cousin. Return car. KLM 19:00 AMS→CPH 20:30.</t>
        </is>
      </c>
    </row>
    <row r="27" ht="15.75" customHeight="1" s="38">
      <c r="A27" s="8" t="n">
        <v>24</v>
      </c>
      <c r="B27" s="8" t="inlineStr">
        <is>
          <t>Mon 3 Aug</t>
        </is>
      </c>
      <c r="C27" s="8" t="inlineStr">
        <is>
          <t>Sweden 🇸🇪</t>
        </is>
      </c>
      <c r="D27" s="8" t="inlineStr">
        <is>
          <t>Gothenburg</t>
        </is>
      </c>
      <c r="E27" s="8" t="inlineStr">
        <is>
          <t>Sister's place 💙</t>
        </is>
      </c>
      <c r="F27" s="8" t="inlineStr">
        <is>
          <t>CPH → Gothenburg X2000</t>
        </is>
      </c>
      <c r="G27" s="8" t="inlineStr">
        <is>
          <t>🚆 3h 40min</t>
        </is>
      </c>
      <c r="H27" s="8" t="inlineStr">
        <is>
          <t>13:00 X2000</t>
        </is>
      </c>
      <c r="I27" s="8" t="inlineStr">
        <is>
          <t>CPH morning Nyhavn + Tivoli. X2000 train via Öresund Bridge. Sister pickup 16:40.</t>
        </is>
      </c>
    </row>
    <row r="28" ht="15.75" customHeight="1" s="38">
      <c r="A28" s="8" t="n">
        <v>25</v>
      </c>
      <c r="B28" s="8" t="inlineStr">
        <is>
          <t>Tue 4 Aug</t>
        </is>
      </c>
      <c r="C28" s="8" t="inlineStr">
        <is>
          <t>Sweden 🇸🇪</t>
        </is>
      </c>
      <c r="D28" s="8" t="inlineStr">
        <is>
          <t>Gothenburg</t>
        </is>
      </c>
      <c r="E28" s="8" t="inlineStr">
        <is>
          <t>Sister's place 💙</t>
        </is>
      </c>
      <c r="F28" s="8" t="inlineStr">
        <is>
          <t>Gothenburg full day</t>
        </is>
      </c>
      <c r="G28" s="8" t="inlineStr">
        <is>
          <t>— local</t>
        </is>
      </c>
      <c r="H28" s="8" t="inlineStr">
        <is>
          <t>Slow morning</t>
        </is>
      </c>
      <c r="I28" s="8" t="inlineStr">
        <is>
          <t>Full sister day. Liseberg, Haga cinnamon buns, archipelago boat. Family time.</t>
        </is>
      </c>
    </row>
    <row r="29" ht="15.75" customHeight="1" s="38">
      <c r="A29" s="6" t="inlineStr">
        <is>
          <t>—</t>
        </is>
      </c>
      <c r="B29" s="6" t="inlineStr">
        <is>
          <t>Wed 5 Aug</t>
        </is>
      </c>
      <c r="C29" s="6" t="inlineStr">
        <is>
          <t>Germany 🇩🇪</t>
        </is>
      </c>
      <c r="D29" s="6" t="inlineStr">
        <is>
          <t>Munich</t>
        </is>
      </c>
      <c r="E29" s="6" t="inlineStr">
        <is>
          <t>Novotel MUC Airport (TBD)</t>
        </is>
      </c>
      <c r="F29" s="6" t="inlineStr">
        <is>
          <t>Gothenburg → Munich (fly)</t>
        </is>
      </c>
      <c r="G29" s="6" t="inlineStr">
        <is>
          <t>✈ ~2 hrs</t>
        </is>
      </c>
      <c r="H29" s="9" t="inlineStr">
        <is>
          <t>06:30 GOT</t>
        </is>
      </c>
      <c r="I29" s="6" t="inlineStr">
        <is>
          <t>Wake 05:00. Taxi 05:20. GOT→MUC, land 08:30. Novotel MUC overnight ~€60–80 day-use OR full overnight. Optional Munich city via S-Bahn. Airport by 21:00.</t>
        </is>
      </c>
    </row>
    <row r="30" ht="15.75" customHeight="1" s="38">
      <c r="A30" s="6" t="inlineStr">
        <is>
          <t>—</t>
        </is>
      </c>
      <c r="B30" s="6" t="inlineStr">
        <is>
          <t>Thu 6 Aug</t>
        </is>
      </c>
      <c r="C30" s="6" t="inlineStr">
        <is>
          <t>In transit 🇩🇪→🇨🇳</t>
        </is>
      </c>
      <c r="D30" s="6" t="inlineStr">
        <is>
          <t>Munich → Beijing</t>
        </is>
      </c>
      <c r="E30" s="6" t="inlineStr">
        <is>
          <t>—</t>
        </is>
      </c>
      <c r="F30" s="6" t="inlineStr">
        <is>
          <t>Munich → Beijing (CA962)</t>
        </is>
      </c>
      <c r="G30" s="6" t="inlineStr">
        <is>
          <t>✈ 9h 45m</t>
        </is>
      </c>
      <c r="H30" s="6" t="inlineStr">
        <is>
          <t>13:00 depart</t>
        </is>
      </c>
      <c r="I30" s="6" t="inlineStr">
        <is>
          <t>Check-in MUC T2 by 10:30, board 11:00. Land PEK 04:45 Fri 7 Aug. Rest ~3hrs. Great Wall at Mutianyu. Back T3 by 21:00.</t>
        </is>
      </c>
    </row>
    <row r="31" ht="15.75" customHeight="1" s="38">
      <c r="A31" s="6" t="inlineStr">
        <is>
          <t>—</t>
        </is>
      </c>
      <c r="B31" s="6" t="inlineStr">
        <is>
          <t>Sat 8 Aug</t>
        </is>
      </c>
      <c r="C31" s="6" t="inlineStr">
        <is>
          <t>New Zealand 🇳🇿</t>
        </is>
      </c>
      <c r="D31" s="6" t="inlineStr">
        <is>
          <t>Auckland 🏠</t>
        </is>
      </c>
      <c r="E31" s="6" t="inlineStr">
        <is>
          <t>—</t>
        </is>
      </c>
      <c r="F31" s="6" t="inlineStr">
        <is>
          <t>Beijing → Auckland (CA783)</t>
        </is>
      </c>
      <c r="G31" s="6" t="inlineStr">
        <is>
          <t>✈ 12h 25m</t>
        </is>
      </c>
      <c r="H31" s="6" t="inlineStr">
        <is>
          <t>00:05 depart PEK</t>
        </is>
      </c>
      <c r="I31" s="6" t="inlineStr">
        <is>
          <t>CA783 PEK 00:05 → AKL 16:30. 25 nights, 23 destinations, two Beijing stopovers, sister visit — welcome home.</t>
        </is>
      </c>
    </row>
    <row r="32" ht="15.75" customHeight="1" s="38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 ht="15.75" customHeight="1" s="38">
      <c r="A33" s="2" t="n"/>
      <c r="B33" s="2" t="n"/>
      <c r="C33" s="2" t="n"/>
      <c r="D33" s="2" t="n"/>
      <c r="E33" s="2" t="n"/>
      <c r="F33" s="2" t="n"/>
      <c r="I33" s="2" t="n"/>
    </row>
    <row r="34" ht="15.75" customHeight="1" s="38">
      <c r="A34" s="2" t="n"/>
      <c r="B34" s="2" t="n"/>
      <c r="C34" s="2" t="n"/>
      <c r="D34" s="2" t="n"/>
      <c r="E34" s="2" t="n"/>
      <c r="F34" s="2" t="n"/>
      <c r="I34" s="2" t="n"/>
    </row>
    <row r="35" ht="15.75" customHeight="1" s="38">
      <c r="A35" s="2" t="n"/>
      <c r="B35" s="2" t="n"/>
      <c r="C35" s="2" t="n"/>
      <c r="D35" s="2" t="n"/>
      <c r="E35" s="2" t="n"/>
      <c r="F35" s="2" t="n"/>
      <c r="I35" s="2" t="n"/>
    </row>
    <row r="36" ht="15.75" customHeight="1" s="38">
      <c r="A36" s="2" t="n"/>
      <c r="B36" s="2" t="n"/>
      <c r="C36" s="2" t="n"/>
      <c r="D36" s="2" t="n"/>
      <c r="E36" s="2" t="n"/>
      <c r="F36" s="2" t="n"/>
      <c r="I36" s="2" t="n"/>
    </row>
    <row r="37" ht="15.75" customHeight="1" s="38">
      <c r="A37" s="2" t="n"/>
      <c r="B37" s="2" t="n"/>
      <c r="C37" s="2" t="n"/>
      <c r="D37" s="2" t="n"/>
      <c r="E37" s="2" t="n"/>
      <c r="F37" s="2" t="n"/>
      <c r="I37" s="2" t="n"/>
    </row>
    <row r="38" ht="15.75" customHeight="1" s="38">
      <c r="A38" s="2" t="n"/>
      <c r="B38" s="2" t="n"/>
      <c r="C38" s="2" t="n"/>
      <c r="D38" s="2" t="n"/>
      <c r="E38" s="2" t="n"/>
      <c r="F38" s="2" t="n"/>
      <c r="I38" s="2" t="n"/>
    </row>
    <row r="39" ht="15.75" customHeight="1" s="38">
      <c r="A39" s="2" t="n"/>
      <c r="B39" s="2" t="n"/>
      <c r="C39" s="2" t="n"/>
      <c r="D39" s="2" t="n"/>
      <c r="E39" s="2" t="n"/>
      <c r="F39" s="2" t="n"/>
      <c r="I39" s="2" t="n"/>
    </row>
    <row r="40" ht="15.75" customHeight="1" s="38">
      <c r="A40" s="2" t="n"/>
      <c r="B40" s="2" t="n"/>
      <c r="C40" s="2" t="n"/>
      <c r="D40" s="2" t="n"/>
      <c r="E40" s="2" t="n"/>
      <c r="F40" s="2" t="n"/>
      <c r="I40" s="2" t="n"/>
      <c r="J40" s="2" t="inlineStr">
        <is>
          <t>Meals</t>
        </is>
      </c>
      <c r="K40" s="2">
        <f>150*28</f>
        <v/>
      </c>
    </row>
    <row r="41" ht="15.75" customHeight="1" s="38">
      <c r="A41" s="2" t="inlineStr">
        <is>
          <t>Fuel</t>
        </is>
      </c>
      <c r="B41" s="2" t="n"/>
      <c r="C41" s="2" t="n"/>
      <c r="D41" s="2" t="n"/>
      <c r="E41" s="2" t="n"/>
      <c r="F41" s="2" t="n"/>
      <c r="I41" s="2" t="n"/>
      <c r="J41" s="2" t="inlineStr">
        <is>
          <t>Fuel</t>
        </is>
      </c>
      <c r="K41" s="2" t="n">
        <v>3000</v>
      </c>
    </row>
    <row r="42" ht="15.75" customHeight="1" s="38">
      <c r="A42" s="2" t="n"/>
      <c r="B42" s="2" t="n"/>
      <c r="C42" s="2" t="n"/>
      <c r="D42" s="2" t="n"/>
      <c r="E42" s="2" t="n"/>
      <c r="F42" s="2" t="n"/>
      <c r="I42" s="2" t="n"/>
      <c r="K42" s="2">
        <f>SUM(K2:K41)</f>
        <v/>
      </c>
    </row>
    <row r="43" ht="15.75" customHeight="1" s="38">
      <c r="A43" s="2" t="n"/>
      <c r="B43" s="2" t="n"/>
      <c r="C43" s="2" t="n"/>
      <c r="D43" s="2" t="n"/>
      <c r="E43" s="2" t="n"/>
      <c r="F43" s="2" t="n"/>
      <c r="I43" s="2" t="n"/>
    </row>
    <row r="44" ht="15.75" customHeight="1" s="38">
      <c r="A44" s="2" t="n"/>
      <c r="B44" s="2" t="n"/>
      <c r="C44" s="2" t="n"/>
      <c r="D44" s="2" t="n"/>
      <c r="E44" s="2" t="n"/>
      <c r="F44" s="2" t="n"/>
      <c r="I44" s="2" t="n"/>
    </row>
    <row r="45" ht="15.75" customHeight="1" s="38">
      <c r="A45" s="2" t="n"/>
      <c r="B45" s="2" t="n"/>
      <c r="C45" s="2" t="n"/>
      <c r="D45" s="2" t="n"/>
      <c r="E45" s="2" t="n"/>
      <c r="F45" s="2" t="n"/>
      <c r="I45" s="2" t="n"/>
    </row>
    <row r="46" ht="15.75" customHeight="1" s="38">
      <c r="A46" s="2" t="n"/>
      <c r="B46" s="2" t="n"/>
      <c r="C46" s="2" t="n"/>
      <c r="D46" s="2" t="n"/>
      <c r="E46" s="2" t="n"/>
      <c r="F46" s="2" t="n"/>
      <c r="I46" s="2" t="n"/>
    </row>
    <row r="47" ht="15.75" customHeight="1" s="38">
      <c r="A47" s="2" t="n"/>
      <c r="B47" s="2" t="n"/>
      <c r="C47" s="2" t="n"/>
      <c r="D47" s="2" t="n"/>
      <c r="E47" s="2" t="n"/>
      <c r="F47" s="2" t="n"/>
      <c r="I47" s="2" t="n"/>
      <c r="J47" s="2" t="inlineStr">
        <is>
          <t>Rental cash saving</t>
        </is>
      </c>
      <c r="K47" s="2" t="n">
        <v>5000</v>
      </c>
    </row>
    <row r="48" ht="15.75" customHeight="1" s="38">
      <c r="A48" s="2" t="n"/>
      <c r="B48" s="2" t="n"/>
      <c r="C48" s="2" t="n"/>
      <c r="D48" s="2" t="n"/>
      <c r="E48" s="2" t="n"/>
      <c r="F48" s="2" t="n"/>
      <c r="I48" s="2" t="n"/>
      <c r="J48" s="2" t="inlineStr">
        <is>
          <t>Cash back Kiwi</t>
        </is>
      </c>
      <c r="K48" s="2" t="n">
        <v>11560</v>
      </c>
    </row>
    <row r="49" ht="15.75" customHeight="1" s="38">
      <c r="A49" s="25" t="inlineStr">
        <is>
          <t>Hotel — MUC airport (Wed 5 Aug)</t>
        </is>
      </c>
      <c r="B49" s="25" t="inlineStr">
        <is>
          <t>1 night, family room</t>
        </is>
      </c>
      <c r="C49" s="25" t="n">
        <v>250</v>
      </c>
      <c r="D49" s="25" t="inlineStr">
        <is>
          <t>EUR</t>
        </is>
      </c>
      <c r="E49" s="25" t="inlineStr">
        <is>
          <t>Hilton MUC Airport ~€320 / Premier Inn ~€140 — midpoint placeholder</t>
        </is>
      </c>
      <c r="F49" s="2" t="n"/>
      <c r="I49" s="2" t="n"/>
    </row>
    <row r="50" ht="15.75" customHeight="1" s="38">
      <c r="A50" s="2" t="n"/>
      <c r="B50" s="2" t="n"/>
      <c r="C50" s="2" t="n"/>
      <c r="D50" s="2" t="n"/>
      <c r="E50" s="2" t="n"/>
      <c r="F50" s="2" t="n"/>
      <c r="I50" s="2" t="n"/>
    </row>
    <row r="51" ht="15.75" customHeight="1" s="38">
      <c r="A51" s="2" t="n"/>
      <c r="B51" s="2" t="n"/>
      <c r="C51" s="2" t="n"/>
      <c r="D51" s="2" t="n"/>
      <c r="E51" s="2" t="n"/>
      <c r="F51" s="2" t="n"/>
      <c r="I51" s="2" t="n"/>
    </row>
    <row r="52" ht="15.75" customHeight="1" s="38">
      <c r="A52" s="2" t="n"/>
      <c r="B52" s="2" t="n"/>
      <c r="C52" s="2" t="n"/>
      <c r="D52" s="2" t="n"/>
      <c r="E52" s="2" t="n"/>
      <c r="F52" s="2" t="n"/>
      <c r="I52" s="2" t="n"/>
    </row>
    <row r="53" ht="15.75" customHeight="1" s="38">
      <c r="A53" s="2" t="n"/>
      <c r="B53" s="2" t="n"/>
      <c r="C53" s="2" t="n"/>
      <c r="D53" s="2" t="n"/>
      <c r="E53" s="2" t="n"/>
      <c r="F53" s="2" t="n"/>
      <c r="I53" s="2" t="n"/>
    </row>
    <row r="54" ht="15.75" customHeight="1" s="38">
      <c r="A54" s="2" t="n"/>
      <c r="B54" s="2" t="n"/>
      <c r="C54" s="2" t="n"/>
      <c r="D54" s="2" t="n"/>
      <c r="E54" s="2" t="n"/>
      <c r="F54" s="2" t="n"/>
      <c r="I54" s="2" t="n"/>
    </row>
    <row r="55" ht="15.75" customHeight="1" s="38">
      <c r="A55" s="2" t="n"/>
      <c r="B55" s="2" t="n"/>
      <c r="C55" s="2" t="n"/>
      <c r="D55" s="2" t="n"/>
      <c r="E55" s="2" t="n"/>
      <c r="F55" s="2" t="n"/>
      <c r="I55" s="2" t="n"/>
    </row>
    <row r="56" ht="15.75" customHeight="1" s="38">
      <c r="A56" s="2" t="n"/>
      <c r="B56" s="2" t="n"/>
      <c r="C56" s="2" t="n"/>
      <c r="D56" s="2" t="n"/>
      <c r="E56" s="2" t="n"/>
      <c r="F56" s="2" t="n"/>
      <c r="I56" s="2" t="n"/>
    </row>
    <row r="57" ht="15.75" customHeight="1" s="38">
      <c r="A57" s="2" t="n"/>
      <c r="B57" s="2" t="n"/>
      <c r="C57" s="2" t="n"/>
      <c r="D57" s="2" t="n"/>
      <c r="E57" s="2" t="n"/>
      <c r="F57" s="2" t="n"/>
      <c r="I57" s="2" t="n"/>
    </row>
    <row r="58" ht="15.75" customHeight="1" s="38">
      <c r="A58" s="2" t="n"/>
      <c r="B58" s="2" t="n"/>
      <c r="C58" s="2" t="n"/>
      <c r="D58" s="2" t="n"/>
      <c r="E58" s="2" t="n"/>
      <c r="F58" s="2" t="n"/>
      <c r="I58" s="2" t="n"/>
    </row>
    <row r="59" ht="15.75" customHeight="1" s="38">
      <c r="A59" s="2" t="n"/>
      <c r="B59" s="2" t="n"/>
      <c r="C59" s="2" t="n"/>
      <c r="D59" s="2" t="n"/>
      <c r="E59" s="2" t="n"/>
      <c r="F59" s="2" t="n"/>
      <c r="I59" s="2" t="n"/>
    </row>
    <row r="60" ht="15.75" customHeight="1" s="38">
      <c r="A60" s="2" t="n"/>
      <c r="B60" s="2" t="n"/>
      <c r="C60" s="2" t="n"/>
      <c r="D60" s="2" t="n"/>
      <c r="E60" s="2" t="n"/>
      <c r="F60" s="2" t="n"/>
      <c r="I60" s="2" t="n"/>
    </row>
    <row r="61" ht="15.75" customHeight="1" s="38">
      <c r="A61" s="2" t="n"/>
      <c r="B61" s="2" t="n"/>
      <c r="C61" s="2" t="n"/>
      <c r="D61" s="2" t="n"/>
      <c r="E61" s="2" t="n"/>
      <c r="F61" s="2" t="n"/>
      <c r="I61" s="2" t="n"/>
    </row>
    <row r="62" ht="15.75" customHeight="1" s="38">
      <c r="A62" s="2" t="n"/>
      <c r="B62" s="2" t="n"/>
      <c r="C62" s="2" t="n"/>
      <c r="D62" s="2" t="n"/>
      <c r="E62" s="2" t="n"/>
      <c r="F62" s="2" t="n"/>
      <c r="I62" s="2" t="n"/>
    </row>
    <row r="63" ht="15.75" customHeight="1" s="38">
      <c r="A63" s="2" t="n"/>
      <c r="B63" s="2" t="n"/>
      <c r="C63" s="2" t="n"/>
      <c r="D63" s="2" t="n"/>
      <c r="E63" s="2" t="n"/>
      <c r="F63" s="2" t="n"/>
      <c r="I63" s="2" t="n"/>
    </row>
    <row r="64" ht="15.75" customHeight="1" s="38">
      <c r="A64" s="2" t="n"/>
      <c r="B64" s="2" t="n"/>
      <c r="C64" s="2" t="n"/>
      <c r="D64" s="2" t="n"/>
      <c r="E64" s="2" t="n"/>
      <c r="F64" s="2" t="n"/>
      <c r="I64" s="2" t="n"/>
    </row>
    <row r="65" ht="15.75" customHeight="1" s="38">
      <c r="A65" s="2" t="n"/>
      <c r="B65" s="2" t="n"/>
      <c r="C65" s="2" t="n"/>
      <c r="D65" s="2" t="n"/>
      <c r="E65" s="2" t="n"/>
      <c r="F65" s="2" t="n"/>
      <c r="I65" s="2" t="n"/>
    </row>
    <row r="66" ht="15.75" customHeight="1" s="38">
      <c r="A66" s="2" t="n"/>
      <c r="B66" s="2" t="n"/>
      <c r="C66" s="2" t="n"/>
      <c r="D66" s="2" t="n"/>
      <c r="E66" s="2" t="n"/>
      <c r="F66" s="2" t="n"/>
      <c r="I66" s="2" t="n"/>
    </row>
    <row r="67" ht="15.75" customHeight="1" s="38">
      <c r="A67" s="2" t="n"/>
      <c r="B67" s="2" t="n"/>
      <c r="C67" s="2" t="n"/>
      <c r="D67" s="2" t="n"/>
      <c r="E67" s="2" t="n"/>
      <c r="F67" s="2" t="n"/>
      <c r="I67" s="2" t="n"/>
    </row>
    <row r="68" ht="15.75" customHeight="1" s="38">
      <c r="A68" s="2" t="n"/>
      <c r="B68" s="2" t="n"/>
      <c r="C68" s="2" t="n"/>
      <c r="D68" s="2" t="n"/>
      <c r="E68" s="2" t="n"/>
      <c r="F68" s="2" t="n"/>
      <c r="I68" s="2" t="n"/>
    </row>
    <row r="69" ht="15.75" customHeight="1" s="38">
      <c r="A69" s="2" t="n"/>
      <c r="B69" s="2" t="n"/>
      <c r="C69" s="2" t="n"/>
      <c r="D69" s="2" t="n"/>
      <c r="E69" s="2" t="n"/>
      <c r="F69" s="2" t="n"/>
      <c r="I69" s="2" t="n"/>
    </row>
    <row r="70" ht="15.75" customHeight="1" s="38">
      <c r="A70" s="2" t="n"/>
      <c r="B70" s="2" t="n"/>
      <c r="C70" s="2" t="n"/>
      <c r="D70" s="2" t="n"/>
      <c r="E70" s="2" t="n"/>
      <c r="F70" s="2" t="n"/>
      <c r="I70" s="2" t="n"/>
    </row>
    <row r="71" ht="15.75" customHeight="1" s="38">
      <c r="A71" s="2" t="n"/>
      <c r="B71" s="2" t="n"/>
      <c r="C71" s="2" t="n"/>
      <c r="D71" s="2" t="n"/>
      <c r="E71" s="2" t="n"/>
      <c r="F71" s="2" t="n"/>
      <c r="I71" s="2" t="n"/>
    </row>
    <row r="72" ht="15.75" customHeight="1" s="38">
      <c r="A72" s="2" t="n"/>
      <c r="B72" s="2" t="n"/>
      <c r="C72" s="2" t="n"/>
      <c r="D72" s="2" t="n"/>
      <c r="E72" s="2" t="n"/>
      <c r="F72" s="2" t="n"/>
      <c r="I72" s="2" t="n"/>
    </row>
    <row r="73" ht="15.75" customHeight="1" s="38">
      <c r="A73" s="2" t="n"/>
      <c r="B73" s="2" t="n"/>
      <c r="C73" s="2" t="n"/>
      <c r="D73" s="2" t="n"/>
      <c r="E73" s="2" t="n"/>
      <c r="F73" s="2" t="n"/>
      <c r="I73" s="2" t="n"/>
    </row>
    <row r="74" ht="15.75" customHeight="1" s="38">
      <c r="A74" s="2" t="n"/>
      <c r="B74" s="2" t="n"/>
      <c r="C74" s="2" t="n"/>
      <c r="D74" s="2" t="n"/>
      <c r="E74" s="2" t="n"/>
      <c r="F74" s="2" t="n"/>
      <c r="I74" s="2" t="n"/>
    </row>
    <row r="75" ht="15.75" customHeight="1" s="38">
      <c r="A75" s="2" t="n"/>
      <c r="B75" s="2" t="n"/>
      <c r="C75" s="2" t="n"/>
      <c r="D75" s="2" t="n"/>
      <c r="E75" s="2" t="n"/>
      <c r="F75" s="2" t="n"/>
      <c r="I75" s="2" t="n"/>
    </row>
    <row r="76" ht="15.75" customHeight="1" s="38">
      <c r="A76" s="2" t="n"/>
      <c r="B76" s="2" t="n"/>
      <c r="C76" s="2" t="n"/>
      <c r="D76" s="2" t="n"/>
      <c r="E76" s="2" t="n"/>
      <c r="F76" s="2" t="n"/>
      <c r="I76" s="2" t="n"/>
    </row>
    <row r="77" ht="15.75" customHeight="1" s="38">
      <c r="A77" s="2" t="n"/>
      <c r="B77" s="2" t="n"/>
      <c r="C77" s="2" t="n"/>
      <c r="D77" s="2" t="n"/>
      <c r="E77" s="2" t="n"/>
      <c r="F77" s="2" t="n"/>
      <c r="I77" s="2" t="n"/>
    </row>
    <row r="78" ht="15.75" customHeight="1" s="38">
      <c r="A78" s="2" t="n"/>
      <c r="B78" s="2" t="n"/>
      <c r="C78" s="2" t="n"/>
      <c r="D78" s="2" t="n"/>
      <c r="E78" s="2" t="n"/>
      <c r="F78" s="2" t="n"/>
      <c r="I78" s="2" t="n"/>
    </row>
    <row r="79" ht="15.75" customHeight="1" s="38">
      <c r="A79" s="2" t="n"/>
      <c r="B79" s="2" t="n"/>
      <c r="C79" s="2" t="n"/>
      <c r="D79" s="2" t="n"/>
      <c r="E79" s="2" t="n"/>
      <c r="F79" s="2" t="n"/>
      <c r="I79" s="2" t="n"/>
    </row>
    <row r="80" ht="15.75" customHeight="1" s="38">
      <c r="A80" s="2" t="n"/>
      <c r="B80" s="2" t="n"/>
      <c r="C80" s="2" t="n"/>
      <c r="D80" s="2" t="n"/>
      <c r="E80" s="2" t="n"/>
      <c r="F80" s="2" t="n"/>
      <c r="I80" s="2" t="n"/>
    </row>
    <row r="81" ht="15.75" customHeight="1" s="38">
      <c r="A81" s="2" t="n"/>
      <c r="B81" s="2" t="n"/>
      <c r="C81" s="2" t="n"/>
      <c r="D81" s="2" t="n"/>
      <c r="E81" s="2" t="n"/>
      <c r="F81" s="2" t="n"/>
      <c r="I81" s="2" t="n"/>
    </row>
    <row r="82" ht="15.75" customHeight="1" s="38">
      <c r="A82" s="2" t="n"/>
      <c r="B82" s="2" t="n"/>
      <c r="C82" s="2" t="n"/>
      <c r="D82" s="2" t="n"/>
      <c r="E82" s="2" t="n"/>
      <c r="F82" s="2" t="n"/>
      <c r="I82" s="2" t="n"/>
    </row>
    <row r="83" ht="15.75" customHeight="1" s="38">
      <c r="A83" s="2" t="n"/>
      <c r="B83" s="2" t="n"/>
      <c r="C83" s="2" t="n"/>
      <c r="D83" s="2" t="n"/>
      <c r="E83" s="2" t="n"/>
      <c r="F83" s="2" t="n"/>
      <c r="I83" s="2" t="n"/>
    </row>
    <row r="84" ht="15.75" customHeight="1" s="38">
      <c r="A84" s="2" t="n"/>
      <c r="B84" s="2" t="n"/>
      <c r="C84" s="2" t="n"/>
      <c r="D84" s="2" t="n"/>
      <c r="E84" s="2" t="n"/>
      <c r="F84" s="2" t="n"/>
      <c r="I84" s="2" t="n"/>
    </row>
    <row r="85" ht="15.75" customHeight="1" s="38">
      <c r="A85" s="2" t="n"/>
      <c r="B85" s="2" t="n"/>
      <c r="C85" s="2" t="n"/>
      <c r="D85" s="2" t="n"/>
      <c r="E85" s="2" t="n"/>
      <c r="F85" s="2" t="n"/>
      <c r="I85" s="2" t="n"/>
    </row>
    <row r="86" ht="15.75" customHeight="1" s="38">
      <c r="A86" s="2" t="n"/>
      <c r="B86" s="2" t="n"/>
      <c r="C86" s="2" t="n"/>
      <c r="D86" s="2" t="n"/>
      <c r="E86" s="2" t="n"/>
      <c r="F86" s="2" t="n"/>
      <c r="I86" s="2" t="n"/>
    </row>
    <row r="87" ht="15.75" customHeight="1" s="38">
      <c r="A87" s="2" t="n"/>
      <c r="B87" s="2" t="n"/>
      <c r="C87" s="2" t="n"/>
      <c r="D87" s="2" t="n"/>
      <c r="E87" s="2" t="n"/>
      <c r="F87" s="2" t="n"/>
      <c r="I87" s="2" t="n"/>
    </row>
    <row r="88" ht="15.75" customHeight="1" s="38">
      <c r="A88" s="2" t="n"/>
      <c r="B88" s="2" t="n"/>
      <c r="C88" s="2" t="n"/>
      <c r="D88" s="2" t="n"/>
      <c r="E88" s="2" t="n"/>
      <c r="F88" s="2" t="n"/>
      <c r="I88" s="2" t="n"/>
    </row>
    <row r="89" ht="15.75" customHeight="1" s="38">
      <c r="A89" s="2" t="n"/>
      <c r="B89" s="2" t="n"/>
      <c r="C89" s="2" t="n"/>
      <c r="D89" s="2" t="n"/>
      <c r="E89" s="2" t="n"/>
      <c r="F89" s="2" t="n"/>
      <c r="I89" s="2" t="n"/>
    </row>
    <row r="90" ht="15.75" customHeight="1" s="38">
      <c r="A90" s="2" t="n"/>
      <c r="B90" s="2" t="n"/>
      <c r="C90" s="2" t="n"/>
      <c r="D90" s="2" t="n"/>
      <c r="E90" s="2" t="n"/>
      <c r="F90" s="2" t="n"/>
      <c r="I90" s="2" t="n"/>
    </row>
    <row r="91" ht="15.75" customHeight="1" s="38">
      <c r="A91" s="2" t="n"/>
      <c r="B91" s="2" t="n"/>
      <c r="C91" s="2" t="n"/>
      <c r="D91" s="2" t="n"/>
      <c r="E91" s="2" t="n"/>
      <c r="F91" s="2" t="n"/>
      <c r="I91" s="2" t="n"/>
    </row>
    <row r="92" ht="15.75" customHeight="1" s="38">
      <c r="A92" s="2" t="n"/>
      <c r="B92" s="2" t="n"/>
      <c r="C92" s="2" t="n"/>
      <c r="D92" s="2" t="n"/>
      <c r="E92" s="2" t="n"/>
      <c r="F92" s="2" t="n"/>
      <c r="I92" s="2" t="n"/>
    </row>
    <row r="93" ht="15.75" customHeight="1" s="38">
      <c r="A93" s="2" t="n"/>
      <c r="B93" s="2" t="n"/>
      <c r="C93" s="2" t="n"/>
      <c r="D93" s="2" t="n"/>
      <c r="E93" s="2" t="n"/>
      <c r="F93" s="2" t="n"/>
      <c r="I93" s="2" t="n"/>
    </row>
    <row r="94" ht="15.75" customHeight="1" s="38">
      <c r="A94" s="2" t="n"/>
      <c r="B94" s="2" t="n"/>
      <c r="C94" s="2" t="n"/>
      <c r="D94" s="2" t="n"/>
      <c r="E94" s="2" t="n"/>
      <c r="F94" s="2" t="n"/>
      <c r="I94" s="2" t="n"/>
    </row>
    <row r="95" ht="15.75" customHeight="1" s="38">
      <c r="A95" s="2" t="n"/>
      <c r="B95" s="2" t="n"/>
      <c r="C95" s="2" t="n"/>
      <c r="D95" s="2" t="n"/>
      <c r="E95" s="2" t="n"/>
      <c r="F95" s="2" t="n"/>
      <c r="I95" s="2" t="n"/>
    </row>
    <row r="96" ht="15.75" customHeight="1" s="38">
      <c r="A96" s="2" t="n"/>
      <c r="B96" s="2" t="n"/>
      <c r="C96" s="2" t="n"/>
      <c r="D96" s="2" t="n"/>
      <c r="E96" s="2" t="n"/>
      <c r="F96" s="2" t="n"/>
      <c r="I96" s="2" t="n"/>
    </row>
    <row r="97" ht="15.75" customHeight="1" s="38">
      <c r="A97" s="2" t="n"/>
      <c r="B97" s="2" t="n"/>
      <c r="C97" s="2" t="n"/>
      <c r="D97" s="2" t="n"/>
      <c r="E97" s="2" t="n"/>
      <c r="F97" s="2" t="n"/>
      <c r="I97" s="2" t="n"/>
    </row>
    <row r="98" ht="15.75" customHeight="1" s="38">
      <c r="A98" s="2" t="n"/>
      <c r="B98" s="2" t="n"/>
      <c r="C98" s="2" t="n"/>
      <c r="D98" s="2" t="n"/>
      <c r="E98" s="2" t="n"/>
      <c r="F98" s="2" t="n"/>
      <c r="I98" s="2" t="n"/>
    </row>
    <row r="99" ht="15.75" customHeight="1" s="38">
      <c r="A99" s="2" t="n"/>
      <c r="B99" s="2" t="n"/>
      <c r="C99" s="2" t="n"/>
      <c r="D99" s="2" t="n"/>
      <c r="E99" s="2" t="n"/>
      <c r="F99" s="2" t="n"/>
      <c r="I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I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I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I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I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I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I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I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I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I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I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I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I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I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I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I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I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I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I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I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I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I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I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I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I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I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I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I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I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I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I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I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I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I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I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I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I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I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I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I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I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I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I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I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I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I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I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I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I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I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I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I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I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I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I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I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I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I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I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I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I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I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I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I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I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I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I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I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I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I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I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I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I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I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I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I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I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I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I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I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I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I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I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I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I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I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I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I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I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I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I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I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I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I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I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I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I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I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I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I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I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I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I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I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I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I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I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I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I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I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I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I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I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I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I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I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I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I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I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I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I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I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I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I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I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I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I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I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I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I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I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I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I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I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I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I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I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I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I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I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I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I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I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I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I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I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I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I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I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I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I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I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I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I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I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I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I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I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I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I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I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I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I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I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I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I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I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I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I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I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I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I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I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I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I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I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I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I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I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I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I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I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I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I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I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I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I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I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I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I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I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I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I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I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I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I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I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I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I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I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I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I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I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I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I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I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I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I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I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I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I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I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I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I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I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I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I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I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I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I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I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I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I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I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I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I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I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I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I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I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I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I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I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I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I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I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I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I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I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I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I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I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I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I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I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I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I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I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I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I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I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I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I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I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I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I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I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I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I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I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I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I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I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I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I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I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I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I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I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I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I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I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I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I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I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I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I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I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I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I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I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I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I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I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I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I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I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I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I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I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I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I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I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I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I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I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I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I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I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I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I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I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I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I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I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I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I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I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I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I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I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I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I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I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I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I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I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I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I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I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I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I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I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I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I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I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I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I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I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I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I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I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I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I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I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I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I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I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I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I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I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I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I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I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I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I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I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I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I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I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I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I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I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I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I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I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I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I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I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I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I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I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I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I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I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I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I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I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I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I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I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I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I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I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I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I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I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I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I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I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I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I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I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I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I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I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I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I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I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I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I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I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I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I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I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I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I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I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I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I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I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I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I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I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I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I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I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I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I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I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I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I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I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I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I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I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I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I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I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I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I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I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I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I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I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I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I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I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I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I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I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I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I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I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I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I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I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I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I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I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I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I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I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I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I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I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I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I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I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I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I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I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I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I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I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I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I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I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I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I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I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I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I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I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I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I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I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I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I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I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I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I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I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I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I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I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I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I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I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I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I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I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I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I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I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I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I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I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I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I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I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I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I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I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I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I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I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I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I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I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I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I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I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I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I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I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I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I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I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I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I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I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I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I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I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I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I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I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I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I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I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I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I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I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I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I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I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I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I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I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I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I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I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I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I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I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I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I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I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I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I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I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I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I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I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I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I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I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I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I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I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I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I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I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I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I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I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I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I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I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I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I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I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I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I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I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I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I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I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I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I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I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I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I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I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I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I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I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I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I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I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I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I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I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I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I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I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I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I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I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I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I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I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I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I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I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I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I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I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I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I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I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I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I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I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I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I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I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I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I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I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I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I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I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I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I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I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I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I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I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I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I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I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I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I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I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I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I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I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I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I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I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I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I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I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I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I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I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I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I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I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I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I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I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I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I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I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I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I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I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I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I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I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I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I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I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I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I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I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I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I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I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I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I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I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I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I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I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I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I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I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I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I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I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I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I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I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I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I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I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I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I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I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I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I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I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I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I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I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I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I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I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I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I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I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I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I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I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I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I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I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I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I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I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I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I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I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I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I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I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I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I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I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I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I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I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I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I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I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I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I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I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I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I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I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I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I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I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I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I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I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I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I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I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I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I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I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I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I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I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I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I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I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I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I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I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I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I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I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I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I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I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I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I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I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I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I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I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I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I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I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I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I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I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I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I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I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I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I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I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I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I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I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I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I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I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I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I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I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I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I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I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I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I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I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I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I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I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I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I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I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I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I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I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I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I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I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I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I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I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I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I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I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I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I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I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I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I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I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I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I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I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I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I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I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I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I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I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I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I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I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I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I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I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I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I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I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I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I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I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I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I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I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I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I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I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I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I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I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I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I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I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I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I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I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I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I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I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I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I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I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I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I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I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I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I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I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I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I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I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I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I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I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I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I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I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I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I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I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I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I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I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I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I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I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I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I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I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I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I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I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I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I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I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I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I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I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I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I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I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I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I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I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I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I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I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I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I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I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I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I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I1000" s="2" t="n"/>
    </row>
  </sheetData>
  <mergeCells count="3">
    <mergeCell ref="K4:K5"/>
    <mergeCell ref="K6:K7"/>
    <mergeCell ref="K10:K11"/>
  </mergeCells>
  <hyperlinks>
    <hyperlink xmlns:r="http://schemas.openxmlformats.org/officeDocument/2006/relationships" ref="E4" r:id="rId1"/>
    <hyperlink xmlns:r="http://schemas.openxmlformats.org/officeDocument/2006/relationships" ref="E5" r:id="rId2"/>
    <hyperlink xmlns:r="http://schemas.openxmlformats.org/officeDocument/2006/relationships" ref="E6" r:id="rId3"/>
    <hyperlink xmlns:r="http://schemas.openxmlformats.org/officeDocument/2006/relationships" ref="E7" r:id="rId4"/>
    <hyperlink xmlns:r="http://schemas.openxmlformats.org/officeDocument/2006/relationships" ref="E8" r:id="rId5"/>
    <hyperlink xmlns:r="http://schemas.openxmlformats.org/officeDocument/2006/relationships" ref="E9" r:id="rId6"/>
    <hyperlink xmlns:r="http://schemas.openxmlformats.org/officeDocument/2006/relationships" ref="E10" r:id="rId7"/>
    <hyperlink xmlns:r="http://schemas.openxmlformats.org/officeDocument/2006/relationships" ref="E11" r:id="rId8"/>
    <hyperlink xmlns:r="http://schemas.openxmlformats.org/officeDocument/2006/relationships" ref="E12" r:id="rId9"/>
    <hyperlink xmlns:r="http://schemas.openxmlformats.org/officeDocument/2006/relationships" ref="E13" r:id="rId10"/>
    <hyperlink xmlns:r="http://schemas.openxmlformats.org/officeDocument/2006/relationships" ref="E14" r:id="rId11"/>
    <hyperlink xmlns:r="http://schemas.openxmlformats.org/officeDocument/2006/relationships" ref="E15" r:id="rId12"/>
  </hyperlink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2026-04-29T04:19:53Z</dcterms:created>
  <dcterms:modified xmlns:dcterms="http://purl.org/dc/terms/" xmlns:xsi="http://www.w3.org/2001/XMLSchema-instance" xsi:type="dcterms:W3CDTF">2026-05-27T04:59:27Z</dcterms:modified>
</cp:coreProperties>
</file>