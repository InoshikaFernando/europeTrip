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Day-by-Day" sheetId="3" state="visible" r:id="rId3"/>
    <sheet xmlns:r="http://schemas.openxmlformats.org/officeDocument/2006/relationships" name="Mass Options" sheetId="4" state="visible" r:id="rId4"/>
    <sheet xmlns:r="http://schemas.openxmlformats.org/officeDocument/2006/relationships" name="Transit" sheetId="5" state="visible" r:id="rId5"/>
    <sheet xmlns:r="http://schemas.openxmlformats.org/officeDocument/2006/relationships" name="Bookings" sheetId="6" state="visible" r:id="rId6"/>
    <sheet xmlns:r="http://schemas.openxmlformats.org/officeDocument/2006/relationships" name="Cities" sheetId="7" state="visible" r:id="rId7"/>
    <sheet xmlns:r="http://schemas.openxmlformats.org/officeDocument/2006/relationships" name="Flights" sheetId="8" state="visible" r:id="rId8"/>
    <sheet xmlns:r="http://schemas.openxmlformats.org/officeDocument/2006/relationships" name="C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Arial"/>
      <b val="1"/>
      <color rgb="FF0D1B2A"/>
      <sz val="16"/>
    </font>
    <font>
      <name val="Calibri"/>
      <color theme="1"/>
      <sz val="11"/>
    </font>
    <font>
      <name val="Arial"/>
      <i val="1"/>
      <color rgb="FF6B6B6B"/>
      <sz val="10"/>
    </font>
    <font>
      <name val="Arial"/>
      <b val="1"/>
      <color rgb="FFFFFFFF"/>
      <sz val="11"/>
    </font>
    <font>
      <name val="Arial"/>
      <b val="1"/>
      <color theme="1"/>
      <sz val="11"/>
    </font>
    <font>
      <name val="Arial"/>
      <color theme="1"/>
      <sz val="11"/>
    </font>
    <font>
      <name val="Arial"/>
      <b val="1"/>
      <color rgb="FF0D1B2A"/>
      <sz val="11"/>
    </font>
    <font>
      <name val="Arial"/>
      <color rgb="FF0563C1"/>
      <sz val="11"/>
    </font>
    <font>
      <name val="Arial"/>
      <color rgb="FF0563C1"/>
      <sz val="11"/>
      <u val="single"/>
    </font>
    <font/>
    <font>
      <name val="Arial"/>
      <color rgb="FF0563C1"/>
      <sz val="11"/>
      <u val="single"/>
    </font>
    <font>
      <name val="Calibri"/>
      <color theme="1"/>
    </font>
    <font>
      <name val="Calibri"/>
      <b val="1"/>
      <color theme="1"/>
      <sz val="11"/>
    </font>
    <font>
      <name val="Calibri"/>
      <b val="1"/>
      <color rgb="FFFFFFFF"/>
      <sz val="12"/>
      <scheme val="minor"/>
    </font>
    <font>
      <name val="Calibri"/>
      <b val="1"/>
      <color rgb="FF000000"/>
      <sz val="11"/>
      <scheme val="minor"/>
    </font>
    <font>
      <name val="Calibri"/>
      <b val="1"/>
      <color rgb="FFFFFFFF"/>
      <scheme val="minor"/>
    </font>
    <font>
      <name val="Calibri"/>
      <b val="1"/>
      <color rgb="FF6B2222"/>
      <scheme val="minor"/>
    </font>
    <font>
      <name val="Calibri"/>
      <color theme="1"/>
      <scheme val="minor"/>
    </font>
    <font>
      <name val="Arial"/>
      <b val="1"/>
      <color rgb="FF0D1B2A"/>
      <sz val="12"/>
    </font>
    <font>
      <name val="Arial"/>
      <i val="1"/>
      <color rgb="FF555555"/>
      <sz val="10"/>
    </font>
    <font>
      <name val="Arial"/>
      <color rgb="FF0563C1"/>
      <sz val="11"/>
      <u val="single"/>
    </font>
  </fonts>
  <fills count="12">
    <fill>
      <patternFill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D8E8DA"/>
        <bgColor rgb="FFD8E8DA"/>
      </patternFill>
    </fill>
    <fill>
      <patternFill patternType="solid">
        <fgColor rgb="FFF5D5D5"/>
        <bgColor rgb="FFF5D5D5"/>
      </patternFill>
    </fill>
    <fill>
      <patternFill patternType="solid">
        <fgColor rgb="FFF4E4BC"/>
        <bgColor rgb="FFF4E4BC"/>
      </patternFill>
    </fill>
    <fill>
      <patternFill patternType="solid">
        <fgColor rgb="FFC89B3C"/>
        <bgColor rgb="FFC89B3C"/>
      </patternFill>
    </fill>
    <fill>
      <patternFill patternType="solid">
        <fgColor rgb="FFC44A4A"/>
        <bgColor rgb="FFC44A4A"/>
      </patternFill>
    </fill>
    <fill>
      <patternFill patternType="solid">
        <fgColor rgb="FFF4ECDC"/>
        <bgColor rgb="FFF4ECDC"/>
      </patternFill>
    </fill>
    <fill>
      <patternFill patternType="solid">
        <fgColor rgb="FF12100E"/>
        <bgColor rgb="FF12100E"/>
      </patternFill>
    </fill>
    <fill>
      <patternFill patternType="solid">
        <fgColor rgb="FFFBEAEA"/>
        <bgColor rgb="FFFBEAEA"/>
      </patternFill>
    </fill>
    <fill>
      <patternFill patternType="solid">
        <fgColor rgb="FFFFE9B8"/>
        <bgColor rgb="FFFFE9B8"/>
      </patternFill>
    </fill>
  </fills>
  <borders count="1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left style="thin">
        <color rgb="FFCCCCCC"/>
      </left>
      <right style="thin">
        <color rgb="FFCCCCCC"/>
      </right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pivotButton="0" quotePrefix="0" xfId="0"/>
    <xf numFmtId="0" fontId="8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10" fillId="0" borderId="3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4" fontId="6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7" borderId="0" applyAlignment="1" pivotButton="0" quotePrefix="0" xfId="0">
      <alignment horizontal="left" vertical="center" wrapText="1"/>
    </xf>
    <xf numFmtId="0" fontId="15" fillId="8" borderId="0" applyAlignment="1" pivotButton="0" quotePrefix="0" xfId="0">
      <alignment vertical="bottom"/>
    </xf>
    <xf numFmtId="0" fontId="16" fillId="9" borderId="0" applyAlignment="1" pivotButton="0" quotePrefix="0" xfId="0">
      <alignment vertical="bottom"/>
    </xf>
    <xf numFmtId="0" fontId="16" fillId="9" borderId="0" pivotButton="0" quotePrefix="0" xfId="0"/>
    <xf numFmtId="0" fontId="17" fillId="10" borderId="0" pivotButton="0" quotePrefix="0" xfId="0"/>
    <xf numFmtId="0" fontId="18" fillId="0" borderId="0" pivotButton="0" quotePrefix="0" xfId="0"/>
    <xf numFmtId="0" fontId="17" fillId="10" borderId="1" applyAlignment="1" pivotButton="0" quotePrefix="0" xfId="0">
      <alignment horizontal="left" vertical="top" wrapText="1"/>
    </xf>
    <xf numFmtId="0" fontId="2" fillId="0" borderId="4" pivotButton="0" quotePrefix="0" xfId="0"/>
    <xf numFmtId="0" fontId="2" fillId="0" borderId="5" pivotButton="0" quotePrefix="0" xfId="0"/>
    <xf numFmtId="0" fontId="19" fillId="11" borderId="6" pivotButton="0" quotePrefix="0" xfId="0"/>
    <xf numFmtId="0" fontId="20" fillId="0" borderId="0" pivotButton="0" quotePrefix="0" xfId="0"/>
    <xf numFmtId="0" fontId="4" fillId="2" borderId="1" pivotButton="0" quotePrefix="0" xfId="0"/>
    <xf numFmtId="0" fontId="21" fillId="3" borderId="1" applyAlignment="1" pivotButton="0" quotePrefix="0" xfId="0">
      <alignment horizontal="left" vertical="top" wrapText="1"/>
    </xf>
    <xf numFmtId="9" fontId="7" fillId="6" borderId="1" pivotButton="0" quotePrefix="0" xfId="0"/>
    <xf numFmtId="0" fontId="19" fillId="5" borderId="6" pivotButton="0" quotePrefix="0" xfId="0"/>
    <xf numFmtId="0" fontId="6" fillId="0" borderId="7" applyAlignment="1" pivotButton="0" quotePrefix="0" xfId="0">
      <alignment horizontal="left" vertical="top" wrapText="1"/>
    </xf>
    <xf numFmtId="0" fontId="10" fillId="0" borderId="4" pivotButton="0" quotePrefix="0" xfId="0"/>
    <xf numFmtId="0" fontId="10" fillId="0" borderId="5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at/burg-altpernstein.en-gb.html" TargetMode="External" Id="rId2"/><Relationship Type="http://schemas.openxmlformats.org/officeDocument/2006/relationships/hyperlink" Target="https://www.booking.com/hotel/cz/gold-art-apartment.en-gb.html" TargetMode="External" Id="rId3"/><Relationship Type="http://schemas.openxmlformats.org/officeDocument/2006/relationships/hyperlink" Target="https://www.booking.com/hotel/cz/gold-art-apartment.en-gb.html" TargetMode="External" Id="rId4"/><Relationship Type="http://schemas.openxmlformats.org/officeDocument/2006/relationships/hyperlink" Target="https://www.booking.com/hotel/at/thelevantelaudon.en-gb.html" TargetMode="External" Id="rId5"/><Relationship Type="http://schemas.openxmlformats.org/officeDocument/2006/relationships/hyperlink" Target="https://www.booking.com/hotel/hu/city-appartementhaus.html" TargetMode="External" Id="rId6"/><Relationship Type="http://schemas.openxmlformats.org/officeDocument/2006/relationships/hyperlink" Target="https://www.booking.com/Share-O3WihJ" TargetMode="External" Id="rId7"/><Relationship Type="http://schemas.openxmlformats.org/officeDocument/2006/relationships/hyperlink" Target="https://www.booking.com/Share-O3WihJ" TargetMode="External" Id="rId8"/><Relationship Type="http://schemas.openxmlformats.org/officeDocument/2006/relationships/hyperlink" Target="https://www.booking.com/Share-eI77Nu" TargetMode="External" Id="rId9"/><Relationship Type="http://schemas.openxmlformats.org/officeDocument/2006/relationships/hyperlink" Target="https://www.booking.com/hotel/it/dabriebra.en-gb.html" TargetMode="External" Id="rId10"/><Relationship Type="http://schemas.openxmlformats.org/officeDocument/2006/relationships/hyperlink" Target="https://www.booking.com/hotel/it/dabriebra.en-gb.html" TargetMode="External" Id="rId11"/><Relationship Type="http://schemas.openxmlformats.org/officeDocument/2006/relationships/hyperlink" Target="https://www.booking.com/hotel/it/dabriebra.en-gb.html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u/0/folders/1CuB4i6hZnuqjQUtDhz3dwmXm0OmPSS3g" TargetMode="External" Id="rId1"/><Relationship Type="http://schemas.openxmlformats.org/officeDocument/2006/relationships/hyperlink" Target="https://drive.google.com/drive/u/0/folders/1ok8hTVTeOR1W4Ze3zHlGVyOAVEZQjL32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cz/gold-art-apartment.en-gb.html" TargetMode="External" Id="rId2"/><Relationship Type="http://schemas.openxmlformats.org/officeDocument/2006/relationships/hyperlink" Target="https://www.booking.com/hotel/at/thelevantelaudon.en-gb.html" TargetMode="External" Id="rId3"/><Relationship Type="http://schemas.openxmlformats.org/officeDocument/2006/relationships/hyperlink" Target="https://www.booking.com/hotel/hu/city-appartementhaus.html" TargetMode="External" Id="rId4"/><Relationship Type="http://schemas.openxmlformats.org/officeDocument/2006/relationships/hyperlink" Target="https://www.booking.com/Share-O3WihJ" TargetMode="External" Id="rId5"/><Relationship Type="http://schemas.openxmlformats.org/officeDocument/2006/relationships/hyperlink" Target="https://www.booking.com/Share-eI77Nu" TargetMode="External" Id="rId6"/><Relationship Type="http://schemas.openxmlformats.org/officeDocument/2006/relationships/hyperlink" Target="https://www.booking.com/hotel/it/dabriebra.en-gb.html" TargetMode="External" Id="rId7"/></Relationships>
</file>

<file path=xl/worksheets/_rels/sheet9.xml.rels><Relationships xmlns="http://schemas.openxmlformats.org/package/2006/relationships"><Relationship Type="http://schemas.openxmlformats.org/officeDocument/2006/relationships/hyperlink" Target="https://www.booking.com/hotel/at/burg-altpernstein.en-gb.html" TargetMode="External" Id="rId1"/><Relationship Type="http://schemas.openxmlformats.org/officeDocument/2006/relationships/hyperlink" Target="https://www.booking.com/hotel/at/burg-altpernstein.en-gb.html" TargetMode="External" Id="rId2"/><Relationship Type="http://schemas.openxmlformats.org/officeDocument/2006/relationships/hyperlink" Target="https://www.booking.com/hotel/cz/gold-art-apartment.en-gb.html" TargetMode="External" Id="rId3"/><Relationship Type="http://schemas.openxmlformats.org/officeDocument/2006/relationships/hyperlink" Target="https://www.booking.com/hotel/cz/gold-art-apartment.en-gb.html" TargetMode="External" Id="rId4"/><Relationship Type="http://schemas.openxmlformats.org/officeDocument/2006/relationships/hyperlink" Target="https://www.booking.com/hotel/at/thelevantelaudon.en-gb.html" TargetMode="External" Id="rId5"/><Relationship Type="http://schemas.openxmlformats.org/officeDocument/2006/relationships/hyperlink" Target="https://www.booking.com/hotel/hu/city-appartementhaus.html" TargetMode="External" Id="rId6"/><Relationship Type="http://schemas.openxmlformats.org/officeDocument/2006/relationships/hyperlink" Target="https://www.booking.com/Share-O3WihJ" TargetMode="External" Id="rId7"/><Relationship Type="http://schemas.openxmlformats.org/officeDocument/2006/relationships/hyperlink" Target="https://www.booking.com/Share-O3WihJ" TargetMode="External" Id="rId8"/><Relationship Type="http://schemas.openxmlformats.org/officeDocument/2006/relationships/hyperlink" Target="https://www.booking.com/Share-eI77Nu" TargetMode="External" Id="rId9"/><Relationship Type="http://schemas.openxmlformats.org/officeDocument/2006/relationships/hyperlink" Target="https://www.booking.com/hotel/it/dabriebra.en-gb.html" TargetMode="External" Id="rId10"/><Relationship Type="http://schemas.openxmlformats.org/officeDocument/2006/relationships/hyperlink" Target="https://www.booking.com/hotel/it/dabriebra.en-gb.html" TargetMode="External" Id="rId11"/><Relationship Type="http://schemas.openxmlformats.org/officeDocument/2006/relationships/hyperlink" Target="https://www.booking.com/hotel/it/dabriebra.en-gb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38" min="1" max="1"/>
    <col width="60" customWidth="1" style="38" min="2" max="2"/>
    <col width="10" customWidth="1" style="38" min="3" max="3"/>
    <col width="60" customWidth="1" style="38" min="4" max="4"/>
    <col width="8.710000000000001" customWidth="1" style="38" min="5" max="6"/>
  </cols>
  <sheetData>
    <row r="1" ht="24" customHeight="1" s="38">
      <c r="A1" s="1" t="inlineStr">
        <is>
          <t>Avi's Family Trip to Europe — The Grand Journey 2026</t>
        </is>
      </c>
      <c r="E1" s="2" t="n"/>
      <c r="F1" s="2" t="n"/>
    </row>
    <row r="2" ht="18" customHeight="1" s="38">
      <c r="A2" s="3" t="inlineStr">
        <is>
          <t>Auckland → Beijing → Europe → Beijing → Auckland · 25 nights · July–August 2026</t>
        </is>
      </c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15" customHeight="1" s="38">
      <c r="A4" s="4" t="inlineStr">
        <is>
          <t>KEY FACT</t>
        </is>
      </c>
      <c r="B4" s="4" t="inlineStr">
        <is>
          <t>VALUE</t>
        </is>
      </c>
      <c r="C4" s="2" t="n"/>
      <c r="D4" s="2" t="n"/>
      <c r="E4" s="2" t="n"/>
      <c r="F4" s="2" t="n"/>
    </row>
    <row r="5" ht="15" customHeight="1" s="38">
      <c r="A5" s="5" t="inlineStr">
        <is>
          <t>Total nights</t>
        </is>
      </c>
      <c r="B5" s="6" t="inlineStr">
        <is>
          <t>25</t>
        </is>
      </c>
      <c r="C5" s="2" t="n"/>
      <c r="D5" s="2" t="n"/>
      <c r="E5" s="2" t="n"/>
      <c r="F5" s="2" t="n"/>
    </row>
    <row r="6" ht="15" customHeight="1" s="38">
      <c r="A6" s="5" t="inlineStr">
        <is>
          <t>Departure (AKL)</t>
        </is>
      </c>
      <c r="B6" s="6" t="inlineStr">
        <is>
          <t>Thu 9 Jul 2026 · CA784 19:30</t>
        </is>
      </c>
      <c r="C6" s="2" t="n"/>
      <c r="D6" s="2" t="n"/>
      <c r="E6" s="2" t="n"/>
      <c r="F6" s="2" t="n"/>
    </row>
    <row r="7" ht="15" customHeight="1" s="38">
      <c r="A7" s="5" t="inlineStr">
        <is>
          <t>Arrival in Europe</t>
        </is>
      </c>
      <c r="B7" s="6" t="inlineStr">
        <is>
          <t>Sat 11 Jul · MUC 07:05 → drive direct to Austria (3 hrs)</t>
        </is>
      </c>
      <c r="C7" s="2" t="n"/>
      <c r="D7" s="2" t="n"/>
      <c r="E7" s="2" t="n"/>
      <c r="F7" s="2" t="n"/>
    </row>
    <row r="8" ht="15" customHeight="1" s="38">
      <c r="A8" s="5" t="inlineStr">
        <is>
          <t>Last European sleep</t>
        </is>
      </c>
      <c r="B8" s="6" t="inlineStr">
        <is>
          <t>Tue 4 Aug 2026 · Gothenburg</t>
        </is>
      </c>
      <c r="C8" s="2" t="n"/>
      <c r="D8" s="2" t="n"/>
      <c r="E8" s="2" t="n"/>
      <c r="F8" s="2" t="n"/>
    </row>
    <row r="9" ht="15" customHeight="1" s="38">
      <c r="A9" s="5" t="inlineStr">
        <is>
          <t>GOT → MUC flight</t>
        </is>
      </c>
      <c r="B9" s="6" t="inlineStr">
        <is>
          <t>Wed 5 Aug 06:30 — CRITICAL booking</t>
        </is>
      </c>
      <c r="C9" s="2" t="n"/>
      <c r="D9" s="2" t="n"/>
      <c r="E9" s="2" t="n"/>
      <c r="F9" s="2" t="n"/>
    </row>
    <row r="10" ht="15" customHeight="1" s="38">
      <c r="A10" s="5" t="inlineStr">
        <is>
          <t>Final departure (MUC)</t>
        </is>
      </c>
      <c r="B10" s="6" t="inlineStr">
        <is>
          <t>Thu 6 Aug 2026 · CA962 13:00</t>
        </is>
      </c>
      <c r="C10" s="2" t="n"/>
      <c r="D10" s="2" t="n"/>
      <c r="E10" s="2" t="n"/>
      <c r="F10" s="2" t="n"/>
    </row>
    <row r="11" ht="15" customHeight="1" s="38">
      <c r="A11" s="5" t="inlineStr">
        <is>
          <t>Return to Auckland</t>
        </is>
      </c>
      <c r="B11" s="6" t="inlineStr">
        <is>
          <t>Sat 8 Aug 2026 · CA783 16:30</t>
        </is>
      </c>
      <c r="C11" s="2" t="n"/>
      <c r="D11" s="2" t="n"/>
      <c r="E11" s="2" t="n"/>
      <c r="F11" s="2" t="n"/>
    </row>
    <row r="12" ht="15" customHeight="1" s="38">
      <c r="A12" s="5" t="inlineStr">
        <is>
          <t>Beijing stopover #1</t>
        </is>
      </c>
      <c r="B12" s="6" t="inlineStr">
        <is>
          <t>Forbidden City + Tiananmen (10 Jul, 22 hrs)</t>
        </is>
      </c>
      <c r="C12" s="2" t="n"/>
      <c r="D12" s="2" t="n"/>
      <c r="E12" s="2" t="n"/>
      <c r="F12" s="2" t="n"/>
    </row>
    <row r="13" ht="15" customHeight="1" s="38">
      <c r="A13" s="5" t="inlineStr">
        <is>
          <t>Beijing stopover #2</t>
        </is>
      </c>
      <c r="B13" s="6" t="inlineStr">
        <is>
          <t>Great Wall at Mutianyu (7 Aug, 19 hrs)</t>
        </is>
      </c>
      <c r="C13" s="2" t="n"/>
      <c r="D13" s="2" t="n"/>
      <c r="E13" s="2" t="n"/>
      <c r="F13" s="2" t="n"/>
    </row>
    <row r="14" ht="15" customHeight="1" s="38">
      <c r="A14" s="5" t="inlineStr">
        <is>
          <t>Cities visited</t>
        </is>
      </c>
      <c r="B14" s="6" t="inlineStr">
        <is>
          <t>21 sleep-in cities (Munich now transit only · Hallstatt + Bled + Pisa + Geneva + Bern + Bruges + Brussels + Bayeux + Paris brief = day stops)</t>
        </is>
      </c>
      <c r="C14" s="2" t="n"/>
      <c r="D14" s="2" t="n"/>
      <c r="E14" s="2" t="n"/>
      <c r="F14" s="2" t="n"/>
    </row>
    <row r="15" ht="15" customHeight="1" s="38">
      <c r="A15" s="5" t="inlineStr">
        <is>
          <t>Sister visit</t>
        </is>
      </c>
      <c r="B15" s="6" t="inlineStr">
        <is>
          <t>Gothenburg · 3–4 Aug · 2 nights 💙</t>
        </is>
      </c>
      <c r="C15" s="2" t="n"/>
      <c r="D15" s="2" t="n"/>
      <c r="E15" s="2" t="n"/>
      <c r="F15" s="2" t="n"/>
    </row>
    <row r="16" ht="15" customHeight="1" s="38">
      <c r="A16" s="5" t="inlineStr">
        <is>
          <t>Confirmed additions</t>
        </is>
      </c>
      <c r="B16" s="6" t="inlineStr">
        <is>
          <t>Ottobeuren (Bavaria) ✓, Caen overnight, Belgium day-trip, Amsterdam hub (4N), Copenhagen 1N, Gothenburg 2N</t>
        </is>
      </c>
      <c r="C16" s="2" t="n"/>
      <c r="D16" s="2" t="n"/>
      <c r="E16" s="2" t="n"/>
      <c r="F16" s="2" t="n"/>
    </row>
    <row r="17" ht="15" customHeight="1" s="38">
      <c r="A17" s="5" t="inlineStr">
        <is>
          <t>Driving total</t>
        </is>
      </c>
      <c r="B17" s="6" t="inlineStr">
        <is>
          <t>~3,800 km across 8 countries (Day 19 = train via Paris)</t>
        </is>
      </c>
      <c r="C17" s="2" t="n"/>
      <c r="D17" s="2" t="n"/>
      <c r="E17" s="2" t="n"/>
      <c r="F17" s="2" t="n"/>
    </row>
    <row r="18" ht="15" customHeight="1" s="38">
      <c r="A18" s="5" t="inlineStr">
        <is>
          <t>Transport mix</t>
        </is>
      </c>
      <c r="B18" s="6" t="inlineStr">
        <is>
          <t>Rental car (DE+FR) · cousin's car (NL/BE/FR) · TGV · Eurostar · X2000 · 5 flights</t>
        </is>
      </c>
      <c r="C18" s="2" t="n"/>
      <c r="D18" s="2" t="n"/>
      <c r="E18" s="2" t="n"/>
      <c r="F18" s="2" t="n"/>
    </row>
    <row r="19" ht="15" customHeight="1" s="38">
      <c r="A19" s="5" t="inlineStr">
        <is>
          <t>Visa note</t>
        </is>
      </c>
      <c r="B19" s="6" t="inlineStr">
        <is>
          <t>144-hr China Transit · apply before AKL departure</t>
        </is>
      </c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 ht="15.75" customHeight="1" s="38">
      <c r="A21" s="2" t="n"/>
      <c r="B21" s="2" t="n"/>
      <c r="C21" s="2" t="n"/>
      <c r="D21" s="2" t="n"/>
      <c r="E21" s="2" t="n"/>
      <c r="F21" s="2" t="n"/>
    </row>
    <row r="22" ht="15" customHeight="1" s="38">
      <c r="A22" s="4" t="inlineStr">
        <is>
          <t>PHASE</t>
        </is>
      </c>
      <c r="B22" s="4" t="inlineStr">
        <is>
          <t>DATES</t>
        </is>
      </c>
      <c r="C22" s="4" t="inlineStr">
        <is>
          <t>DAYS</t>
        </is>
      </c>
      <c r="D22" s="4" t="inlineStr">
        <is>
          <t>FOCUS</t>
        </is>
      </c>
      <c r="E22" s="2" t="n"/>
      <c r="F22" s="2" t="n"/>
    </row>
    <row r="23" ht="15" customHeight="1" s="38">
      <c r="A23" s="6" t="inlineStr">
        <is>
          <t>Austria + East</t>
        </is>
      </c>
      <c r="B23" s="6" t="inlineStr">
        <is>
          <t>11–16 Jul</t>
        </is>
      </c>
      <c r="C23" s="6" t="inlineStr">
        <is>
          <t>1–6</t>
        </is>
      </c>
      <c r="D23" s="6" t="inlineStr">
        <is>
          <t>Burg Altpernstein (Upper Austria), Prague, Vienna, Budapest · Hallstatt day trip optional</t>
        </is>
      </c>
      <c r="E23" s="2" t="n"/>
      <c r="F23" s="2" t="n"/>
    </row>
    <row r="24" ht="26.25" customHeight="1" s="38">
      <c r="A24" s="6" t="inlineStr">
        <is>
          <t>Bled + Italy</t>
        </is>
      </c>
      <c r="B24" s="6" t="inlineStr">
        <is>
          <t>17–22 Jul</t>
        </is>
      </c>
      <c r="C24" s="6" t="inlineStr">
        <is>
          <t>7–12</t>
        </is>
      </c>
      <c r="D24" s="6" t="inlineStr">
        <is>
          <t>Bled (day), Venice, Florence, Rome, Pompeii/Naples (day), Vatican</t>
        </is>
      </c>
      <c r="E24" s="2" t="n"/>
      <c r="F24" s="2" t="n"/>
    </row>
    <row r="25" ht="26.25" customHeight="1" s="38">
      <c r="A25" s="6" t="inlineStr">
        <is>
          <t>Swiss Alps + Bavaria</t>
        </is>
      </c>
      <c r="B25" s="6" t="inlineStr">
        <is>
          <t>23–27 Jul</t>
        </is>
      </c>
      <c r="C25" s="6" t="inlineStr">
        <is>
          <t>13–17</t>
        </is>
      </c>
      <c r="D25" s="6" t="inlineStr">
        <is>
          <t>Milan + Rasika friend stay, Stalden + Gornergrat, Moléson + Geneva day, Bern stop, Ottobeuren (Bavaria)</t>
        </is>
      </c>
      <c r="E25" s="2" t="n"/>
      <c r="F25" s="2" t="n"/>
    </row>
    <row r="26" ht="15" customHeight="1" s="38">
      <c r="A26" s="6" t="inlineStr">
        <is>
          <t>Lourdes pilgrimage</t>
        </is>
      </c>
      <c r="B26" s="6" t="inlineStr">
        <is>
          <t>28 Jul</t>
        </is>
      </c>
      <c r="C26" s="6" t="inlineStr">
        <is>
          <t>18</t>
        </is>
      </c>
      <c r="D26" s="6" t="inlineStr">
        <is>
          <t>Drop MUC car · KLM via AMS → Toulouse → drive Lourdes · Torch Procession 21:00</t>
        </is>
      </c>
      <c r="E26" s="2" t="n"/>
      <c r="F26" s="2" t="n"/>
    </row>
    <row r="27" ht="15" customHeight="1" s="38">
      <c r="A27" s="6" t="inlineStr">
        <is>
          <t>Amsterdam hub</t>
        </is>
      </c>
      <c r="B27" s="6" t="inlineStr">
        <is>
          <t>29 Jul – 2 Aug</t>
        </is>
      </c>
      <c r="C27" s="6" t="inlineStr">
        <is>
          <t>19–23</t>
        </is>
      </c>
      <c r="D27" s="6" t="inlineStr">
        <is>
          <t>Train via Toulouse-Paris-AMS · Paris brief + Caen overnight + Bayeux + Bruges en route Fri · AMS Sat rest + Vigil · Sun fly to CPH</t>
        </is>
      </c>
      <c r="E27" s="2" t="n"/>
      <c r="F27" s="2" t="n"/>
    </row>
    <row r="28" ht="15" customHeight="1" s="38">
      <c r="A28" s="6" t="inlineStr">
        <is>
          <t>Copenhagen</t>
        </is>
      </c>
      <c r="B28" s="6" t="inlineStr">
        <is>
          <t>2 Aug</t>
        </is>
      </c>
      <c r="C28" s="6" t="inlineStr">
        <is>
          <t>23</t>
        </is>
      </c>
      <c r="D28" s="6" t="inlineStr">
        <is>
          <t>Fly KLM AMS→CPH · Nyhavn · Tivoli</t>
        </is>
      </c>
      <c r="E28" s="2" t="n"/>
      <c r="F28" s="2" t="n"/>
    </row>
    <row r="29" ht="15" customHeight="1" s="38">
      <c r="A29" s="6" t="inlineStr">
        <is>
          <t>Gothenburg 💙</t>
        </is>
      </c>
      <c r="B29" s="6" t="inlineStr">
        <is>
          <t>3–4 Aug</t>
        </is>
      </c>
      <c r="C29" s="6" t="inlineStr">
        <is>
          <t>24–25</t>
        </is>
      </c>
      <c r="D29" s="6" t="inlineStr">
        <is>
          <t>X2000 train via Öresund Bridge · sister visit · Liseberg · Haga · Archipelago</t>
        </is>
      </c>
      <c r="E29" s="2" t="n"/>
      <c r="F29" s="2" t="n"/>
    </row>
    <row r="30" ht="15" customHeight="1" s="38">
      <c r="A30" s="6" t="inlineStr">
        <is>
          <t>Return</t>
        </is>
      </c>
      <c r="B30" s="6" t="inlineStr">
        <is>
          <t>5–8 Aug</t>
        </is>
      </c>
      <c r="C30" s="6" t="inlineStr">
        <is>
          <t>—</t>
        </is>
      </c>
      <c r="D30" s="6" t="inlineStr">
        <is>
          <t>GOT→MUC day · CA962 → Beijing (Great Wall) → AKL</t>
        </is>
      </c>
      <c r="E30" s="2" t="n"/>
      <c r="F30" s="2" t="n"/>
    </row>
    <row r="31" ht="15" customHeight="1" s="38">
      <c r="A31" s="6" t="inlineStr">
        <is>
          <t>Return</t>
        </is>
      </c>
      <c r="B31" s="6" t="inlineStr">
        <is>
          <t>5–8 Aug</t>
        </is>
      </c>
      <c r="C31" s="6" t="inlineStr">
        <is>
          <t>—</t>
        </is>
      </c>
      <c r="D31" s="6" t="inlineStr">
        <is>
          <t>GOT→MUC day · CA962 → Beijing (Great Wall) → AKL</t>
        </is>
      </c>
      <c r="E31" s="2" t="n"/>
      <c r="F31" s="2" t="n"/>
    </row>
    <row r="32" ht="15.75" customHeight="1" s="38">
      <c r="A32" s="2" t="n"/>
      <c r="B32" s="2" t="n"/>
      <c r="C32" s="2" t="n"/>
      <c r="D32" s="2" t="n"/>
      <c r="E32" s="2" t="n"/>
      <c r="F32" s="2" t="n"/>
    </row>
    <row r="33" ht="15.75" customHeight="1" s="38">
      <c r="A33" s="2" t="n"/>
      <c r="B33" s="2" t="n"/>
      <c r="C33" s="2" t="n"/>
      <c r="D33" s="2" t="n"/>
      <c r="E33" s="2" t="n"/>
      <c r="F33" s="2" t="n"/>
    </row>
    <row r="34" ht="15.75" customHeight="1" s="38">
      <c r="A34" s="2" t="n"/>
      <c r="B34" s="2" t="n"/>
      <c r="C34" s="2" t="n"/>
      <c r="D34" s="2" t="n"/>
      <c r="E34" s="2" t="n"/>
      <c r="F34" s="2" t="n"/>
    </row>
    <row r="35" ht="15.75" customHeight="1" s="38">
      <c r="A35" s="2" t="n"/>
      <c r="B35" s="2" t="n"/>
      <c r="C35" s="2" t="n"/>
      <c r="D35" s="2" t="n"/>
      <c r="E35" s="2" t="n"/>
      <c r="F35" s="2" t="n"/>
    </row>
    <row r="36" ht="15.75" customHeight="1" s="38">
      <c r="A36" s="2" t="n"/>
      <c r="B36" s="2" t="n"/>
      <c r="C36" s="2" t="n"/>
      <c r="D36" s="2" t="n"/>
      <c r="E36" s="2" t="n"/>
      <c r="F36" s="2" t="n"/>
    </row>
    <row r="37" ht="15.75" customHeight="1" s="38">
      <c r="A37" s="2" t="n"/>
      <c r="B37" s="2" t="n"/>
      <c r="C37" s="2" t="n"/>
      <c r="D37" s="2" t="n"/>
      <c r="E37" s="2" t="n"/>
      <c r="F37" s="2" t="n"/>
    </row>
    <row r="38" ht="15.75" customHeight="1" s="38">
      <c r="A38" s="2" t="n"/>
      <c r="B38" s="2" t="n"/>
      <c r="C38" s="2" t="n"/>
      <c r="D38" s="2" t="n"/>
      <c r="E38" s="2" t="n"/>
      <c r="F38" s="2" t="n"/>
    </row>
    <row r="39" ht="15.75" customHeight="1" s="38">
      <c r="A39" s="2" t="n"/>
      <c r="B39" s="2" t="n"/>
      <c r="C39" s="2" t="n"/>
      <c r="D39" s="2" t="n"/>
      <c r="E39" s="2" t="n"/>
      <c r="F39" s="2" t="n"/>
    </row>
    <row r="40" ht="15.75" customHeight="1" s="38">
      <c r="A40" s="2" t="n"/>
      <c r="B40" s="2" t="n"/>
      <c r="C40" s="2" t="n"/>
      <c r="D40" s="2" t="n"/>
      <c r="E40" s="2" t="n"/>
      <c r="F40" s="2" t="n"/>
    </row>
    <row r="41" ht="15.75" customHeight="1" s="38">
      <c r="A41" s="2" t="n"/>
      <c r="B41" s="2" t="n"/>
      <c r="C41" s="2" t="n"/>
      <c r="D41" s="2" t="n"/>
      <c r="E41" s="2" t="n"/>
      <c r="F41" s="2" t="n"/>
    </row>
    <row r="42" ht="15.75" customHeight="1" s="38">
      <c r="A42" s="2" t="n"/>
      <c r="B42" s="2" t="n"/>
      <c r="C42" s="2" t="n"/>
      <c r="D42" s="2" t="n"/>
      <c r="E42" s="2" t="n"/>
      <c r="F42" s="2" t="n"/>
    </row>
    <row r="43" ht="15.75" customHeight="1" s="38">
      <c r="A43" s="2" t="n"/>
      <c r="B43" s="2" t="n"/>
      <c r="C43" s="2" t="n"/>
      <c r="D43" s="2" t="n"/>
      <c r="E43" s="2" t="n"/>
      <c r="F43" s="2" t="n"/>
    </row>
    <row r="44" ht="15.75" customHeight="1" s="38">
      <c r="A44" s="2" t="n"/>
      <c r="B44" s="2" t="n"/>
      <c r="C44" s="2" t="n"/>
      <c r="D44" s="2" t="n"/>
      <c r="E44" s="2" t="n"/>
      <c r="F44" s="2" t="n"/>
    </row>
    <row r="45" ht="15.75" customHeight="1" s="38">
      <c r="A45" s="2" t="n"/>
      <c r="B45" s="2" t="n"/>
      <c r="C45" s="2" t="n"/>
      <c r="D45" s="2" t="n"/>
      <c r="E45" s="2" t="n"/>
      <c r="F45" s="2" t="n"/>
    </row>
    <row r="46" ht="15.75" customHeight="1" s="38">
      <c r="A46" s="2" t="n"/>
      <c r="B46" s="2" t="n"/>
      <c r="C46" s="2" t="n"/>
      <c r="D46" s="2" t="n"/>
      <c r="E46" s="2" t="n"/>
      <c r="F46" s="2" t="n"/>
    </row>
    <row r="47" ht="15.75" customHeight="1" s="38">
      <c r="A47" s="2" t="n"/>
      <c r="B47" s="2" t="n"/>
      <c r="C47" s="2" t="n"/>
      <c r="D47" s="2" t="n"/>
      <c r="E47" s="2" t="n"/>
      <c r="F47" s="2" t="n"/>
    </row>
    <row r="48" ht="15.75" customHeight="1" s="38">
      <c r="A48" s="2" t="n"/>
      <c r="B48" s="2" t="n"/>
      <c r="C48" s="2" t="n"/>
      <c r="D48" s="2" t="n"/>
      <c r="E48" s="2" t="n"/>
      <c r="F48" s="2" t="n"/>
    </row>
    <row r="49" ht="15.75" customHeight="1" s="38">
      <c r="A49" s="2" t="n"/>
      <c r="B49" s="2" t="n"/>
      <c r="C49" s="2" t="n"/>
      <c r="D49" s="2" t="n"/>
      <c r="E49" s="2" t="n"/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n"/>
      <c r="B52" s="2" t="n"/>
      <c r="C52" s="2" t="n"/>
      <c r="D52" s="2" t="n"/>
      <c r="E52" s="2" t="n"/>
      <c r="F52" s="2" t="n"/>
    </row>
    <row r="53" ht="15.75" customHeight="1" s="38">
      <c r="A53" s="2" t="n"/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n"/>
      <c r="B55" s="2" t="n"/>
      <c r="C55" s="2" t="n"/>
      <c r="D55" s="2" t="n"/>
      <c r="E55" s="2" t="n"/>
      <c r="F55" s="2" t="n"/>
    </row>
    <row r="56" ht="15.75" customHeight="1" s="38">
      <c r="A56" s="2" t="n"/>
      <c r="B56" s="2" t="n"/>
      <c r="C56" s="2" t="n"/>
      <c r="D56" s="2" t="n"/>
      <c r="E56" s="2" t="n"/>
      <c r="F56" s="2" t="n"/>
    </row>
    <row r="57" ht="15.75" customHeight="1" s="38">
      <c r="A57" s="2" t="n"/>
      <c r="B57" s="2" t="n"/>
      <c r="C57" s="2" t="n"/>
      <c r="D57" s="2" t="n"/>
      <c r="E57" s="2" t="n"/>
      <c r="F57" s="2" t="n"/>
    </row>
    <row r="58" ht="15.75" customHeight="1" s="38">
      <c r="A58" s="2" t="n"/>
      <c r="B58" s="2" t="n"/>
      <c r="C58" s="2" t="n"/>
      <c r="D58" s="2" t="n"/>
      <c r="E58" s="2" t="n"/>
      <c r="F58" s="2" t="n"/>
    </row>
    <row r="59" ht="15.75" customHeight="1" s="38">
      <c r="A59" s="2" t="n"/>
      <c r="B59" s="2" t="n"/>
      <c r="C59" s="2" t="n"/>
      <c r="D59" s="2" t="n"/>
      <c r="E59" s="2" t="n"/>
      <c r="F59" s="2" t="n"/>
    </row>
    <row r="60" ht="15.75" customHeight="1" s="38">
      <c r="A60" s="2" t="n"/>
      <c r="B60" s="2" t="n"/>
      <c r="C60" s="2" t="n"/>
      <c r="D60" s="2" t="n"/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n"/>
      <c r="B62" s="2" t="n"/>
      <c r="C62" s="2" t="n"/>
      <c r="D62" s="2" t="n"/>
      <c r="E62" s="2" t="n"/>
      <c r="F62" s="2" t="n"/>
    </row>
    <row r="63" ht="15.75" customHeight="1" s="38">
      <c r="A63" s="2" t="n"/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n"/>
      <c r="B65" s="2" t="n"/>
      <c r="C65" s="2" t="n"/>
      <c r="D65" s="2" t="n"/>
      <c r="E65" s="2" t="n"/>
      <c r="F65" s="2" t="n"/>
    </row>
    <row r="66" ht="15.75" customHeight="1" s="38">
      <c r="A66" s="2" t="n"/>
      <c r="B66" s="2" t="n"/>
      <c r="C66" s="2" t="n"/>
      <c r="D66" s="2" t="n"/>
      <c r="E66" s="2" t="n"/>
      <c r="F66" s="2" t="n"/>
    </row>
    <row r="67" ht="15.75" customHeight="1" s="38">
      <c r="A67" s="2" t="n"/>
      <c r="B67" s="2" t="n"/>
      <c r="C67" s="2" t="n"/>
      <c r="D67" s="2" t="n"/>
      <c r="E67" s="2" t="n"/>
      <c r="F67" s="2" t="n"/>
    </row>
    <row r="68" ht="15.75" customHeight="1" s="38">
      <c r="A68" s="2" t="n"/>
      <c r="B68" s="2" t="n"/>
      <c r="C68" s="2" t="n"/>
      <c r="D68" s="2" t="n"/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n"/>
      <c r="B70" s="2" t="n"/>
      <c r="C70" s="2" t="n"/>
      <c r="D70" s="2" t="n"/>
      <c r="E70" s="2" t="n"/>
      <c r="F70" s="2" t="n"/>
    </row>
    <row r="71" ht="15.75" customHeight="1" s="38">
      <c r="A71" s="2" t="n"/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n"/>
      <c r="B73" s="2" t="n"/>
      <c r="C73" s="2" t="n"/>
      <c r="D73" s="2" t="n"/>
      <c r="E73" s="2" t="n"/>
      <c r="F73" s="2" t="n"/>
    </row>
    <row r="74" ht="15.75" customHeight="1" s="38">
      <c r="A74" s="2" t="n"/>
      <c r="B74" s="2" t="n"/>
      <c r="C74" s="2" t="n"/>
      <c r="D74" s="2" t="n"/>
      <c r="E74" s="2" t="n"/>
      <c r="F74" s="2" t="n"/>
    </row>
    <row r="75" ht="15.75" customHeight="1" s="38">
      <c r="A75" s="2" t="n"/>
      <c r="B75" s="2" t="n"/>
      <c r="C75" s="2" t="n"/>
      <c r="D75" s="2" t="n"/>
      <c r="E75" s="2" t="n"/>
      <c r="F75" s="2" t="n"/>
    </row>
    <row r="76" ht="15.75" customHeight="1" s="38">
      <c r="A76" s="2" t="n"/>
      <c r="B76" s="2" t="n"/>
      <c r="C76" s="2" t="n"/>
      <c r="D76" s="2" t="n"/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n"/>
      <c r="B78" s="2" t="n"/>
      <c r="C78" s="2" t="n"/>
      <c r="D78" s="2" t="n"/>
      <c r="E78" s="2" t="n"/>
      <c r="F78" s="2" t="n"/>
    </row>
    <row r="79" ht="15.75" customHeight="1" s="38">
      <c r="A79" s="2" t="n"/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n"/>
      <c r="B81" s="2" t="n"/>
      <c r="C81" s="2" t="n"/>
      <c r="D81" s="2" t="n"/>
      <c r="E81" s="2" t="n"/>
      <c r="F81" s="2" t="n"/>
    </row>
    <row r="82" ht="15.75" customHeight="1" s="38">
      <c r="A82" s="2" t="n"/>
      <c r="B82" s="2" t="n"/>
      <c r="C82" s="2" t="n"/>
      <c r="D82" s="2" t="n"/>
      <c r="E82" s="2" t="n"/>
      <c r="F82" s="2" t="n"/>
    </row>
    <row r="83" ht="15.75" customHeight="1" s="38">
      <c r="A83" s="2" t="n"/>
      <c r="B83" s="2" t="n"/>
      <c r="C83" s="2" t="n"/>
      <c r="D83" s="2" t="n"/>
      <c r="E83" s="2" t="n"/>
      <c r="F83" s="2" t="n"/>
    </row>
    <row r="84" ht="15.75" customHeight="1" s="38">
      <c r="A84" s="2" t="n"/>
      <c r="B84" s="2" t="n"/>
      <c r="C84" s="2" t="n"/>
      <c r="D84" s="2" t="n"/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8" min="1" max="1"/>
    <col width="14" customWidth="1" style="38" min="2" max="2"/>
    <col width="22" customWidth="1" style="38" min="3" max="3"/>
    <col width="70" customWidth="1" style="38" min="4" max="4"/>
    <col width="8.710000000000001" customWidth="1" style="38" min="5" max="21"/>
  </cols>
  <sheetData>
    <row r="1" ht="24" customHeight="1" s="38">
      <c r="A1" s="1" t="inlineStr">
        <is>
          <t>Calendar — every night verified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 s="38">
      <c r="A2" s="3" t="inlineStr">
        <is>
          <t>25 nights · Sat 11 Jul → Tue 4 Aug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5" customHeight="1" s="38">
      <c r="A4" s="4" t="inlineStr">
        <is>
          <t>Night</t>
        </is>
      </c>
      <c r="B4" s="4" t="inlineStr">
        <is>
          <t>Date</t>
        </is>
      </c>
      <c r="C4" s="4" t="inlineStr">
        <is>
          <t>Sleep In</t>
        </is>
      </c>
      <c r="D4" s="4" t="inlineStr">
        <is>
          <t>Key Activity / Travel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15" customHeight="1" s="38">
      <c r="A5" s="6" t="n">
        <v>1</v>
      </c>
      <c r="B5" s="6" t="inlineStr">
        <is>
          <t>Sat 11 Jul</t>
        </is>
      </c>
      <c r="C5" s="6" t="inlineStr">
        <is>
          <t>Burg Altpernstein 🇦🇹</t>
        </is>
      </c>
      <c r="D5" s="6" t="inlineStr">
        <is>
          <t>Land MUC 07:05 · collect car · drive ~3hrs direct to Austrian castle hotel · ⛪ Sat Vigil 19:00 at Stiftskirche Spital am Pyhrn (covers Sun)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5" customHeight="1" s="38">
      <c r="A6" s="6" t="n">
        <v>2</v>
      </c>
      <c r="B6" s="6" t="inlineStr">
        <is>
          <t>Sun 12 Jul</t>
        </is>
      </c>
      <c r="C6" s="6" t="inlineStr">
        <is>
          <t>Burg Altpernstein 🇦🇹</t>
        </is>
      </c>
      <c r="D6" s="6" t="inlineStr">
        <is>
          <t>NO Mass needed (Sat Vigil covered Sun obligation). Day-trip options: Hallstatt half-day OR Salzburg + Hallstatt loop (Residenzplatz, Felsenreitschule "Sound of Music", Mozart Birthplace, Hohensalzburg Fortress) OR full Salzkammergut loop. ⛪ BACKUP if Sat missed: Sun 09:00 Spital am Pyhrn OR 10:00 Hallstatt Pfarrkirche.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 ht="15" customHeight="1" s="38">
      <c r="A7" s="6" t="n">
        <v>3</v>
      </c>
      <c r="B7" s="6" t="inlineStr">
        <is>
          <t>Mon 13 Jul</t>
        </is>
      </c>
      <c r="C7" s="6" t="inlineStr">
        <is>
          <t>Prague</t>
        </is>
      </c>
      <c r="D7" s="6" t="inlineStr">
        <is>
          <t>Long drive Hallstatt→Prague · Start 08:00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 ht="15" customHeight="1" s="38">
      <c r="A8" s="6" t="n">
        <v>4</v>
      </c>
      <c r="B8" s="6" t="inlineStr">
        <is>
          <t>Tue 14 Jul</t>
        </is>
      </c>
      <c r="C8" s="6" t="inlineStr">
        <is>
          <t>Prague</t>
        </is>
      </c>
      <c r="D8" s="6" t="inlineStr">
        <is>
          <t>Prague full day · Castle · Jewish Quarter · river cruise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 ht="15" customHeight="1" s="38">
      <c r="A9" s="6" t="n">
        <v>5</v>
      </c>
      <c r="B9" s="6" t="inlineStr">
        <is>
          <t>Wed 15 Jul</t>
        </is>
      </c>
      <c r="C9" s="6" t="inlineStr">
        <is>
          <t>Vienna</t>
        </is>
      </c>
      <c r="D9" s="6" t="inlineStr">
        <is>
          <t>Prague→Vienna · Schönbrunn · Naschmarkt · Sachertorte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15" customHeight="1" s="38">
      <c r="A10" s="6" t="n">
        <v>6</v>
      </c>
      <c r="B10" s="6" t="inlineStr">
        <is>
          <t>Thu 16 Jul</t>
        </is>
      </c>
      <c r="C10" s="6" t="inlineStr">
        <is>
          <t>Budapest</t>
        </is>
      </c>
      <c r="D10" s="6" t="inlineStr">
        <is>
          <t>Vienna→Budapest · Széchenyi Thermal Baths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15" customHeight="1" s="38">
      <c r="A11" s="6" t="n">
        <v>7</v>
      </c>
      <c r="B11" s="6" t="inlineStr">
        <is>
          <t>Fri 17 Jul</t>
        </is>
      </c>
      <c r="C11" s="6" t="inlineStr">
        <is>
          <t>Venice</t>
        </is>
      </c>
      <c r="D11" s="6" t="inlineStr">
        <is>
          <t>Budapest→Bled 2.5hr stop→Venice · Start 07:30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15" customHeight="1" s="38">
      <c r="A12" s="6" t="n">
        <v>8</v>
      </c>
      <c r="B12" s="6" t="inlineStr">
        <is>
          <t>Sat 18 Jul</t>
        </is>
      </c>
      <c r="C12" s="6" t="inlineStr">
        <is>
          <t>Venice</t>
        </is>
      </c>
      <c r="D12" s="6" t="inlineStr">
        <is>
          <t>Venice full day · gondola · Burano island · ⛪ Sat 18 Jul Vigil 17:00 at Basilica San Marco (covers Sun — Florence Sun = sightseeing only)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inlineStr">
        <is>
          <t xml:space="preserve"> එ,,අං,,එ,/, </t>
        </is>
      </c>
    </row>
    <row r="13" ht="15" customHeight="1" s="38">
      <c r="A13" s="6" t="n">
        <v>9</v>
      </c>
      <c r="B13" s="6" t="inlineStr">
        <is>
          <t>Sun 19 Jul</t>
        </is>
      </c>
      <c r="C13" s="6" t="inlineStr">
        <is>
          <t>Florence</t>
        </is>
      </c>
      <c r="D13" s="6" t="inlineStr">
        <is>
          <t>Mestre → optional Padua sightseeing → Florence · NO Mass today (Sat Vigil at San Marco covered it) · Ponte Vecchio · ⛪ BACKUP: Padua 10:00 sung Mass OR Florence Santissima Annunziata 18:30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5" customHeight="1" s="38">
      <c r="A14" s="6" t="n">
        <v>10</v>
      </c>
      <c r="B14" s="6" t="inlineStr">
        <is>
          <t>Mon 20 Jul</t>
        </is>
      </c>
      <c r="C14" s="6" t="inlineStr">
        <is>
          <t>Rome</t>
        </is>
      </c>
      <c r="D14" s="6" t="inlineStr">
        <is>
          <t>Florence→Pisa stop→Rome · Colosseum · Trastevere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 ht="15" customHeight="1" s="38">
      <c r="A15" s="6" t="n">
        <v>11</v>
      </c>
      <c r="B15" s="6" t="inlineStr">
        <is>
          <t>Tue 21 Jul</t>
        </is>
      </c>
      <c r="C15" s="6" t="inlineStr">
        <is>
          <t>Rome</t>
        </is>
      </c>
      <c r="D15" s="6" t="inlineStr">
        <is>
          <t>Pompeii + Naples day trip from Rome base · Start 08:00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 ht="15" customHeight="1" s="38">
      <c r="A16" s="6" t="n">
        <v>12</v>
      </c>
      <c r="B16" s="6" t="inlineStr">
        <is>
          <t>Wed 22 Jul</t>
        </is>
      </c>
      <c r="C16" s="6" t="inlineStr">
        <is>
          <t>Rome</t>
        </is>
      </c>
      <c r="D16" s="6" t="inlineStr">
        <is>
          <t>Vatican full day · pre-book essential · depart 07:00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 ht="15" customHeight="1" s="38">
      <c r="A17" s="6" t="n">
        <v>13</v>
      </c>
      <c r="B17" s="6" t="inlineStr">
        <is>
          <t>Thu 23 Jul</t>
        </is>
      </c>
      <c r="C17" s="6" t="inlineStr">
        <is>
          <t>Milan</t>
        </is>
      </c>
      <c r="D17" s="6" t="inlineStr">
        <is>
          <t>Rome→Florence stop→Milan · Start 07:30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 ht="15" customHeight="1" s="38">
      <c r="A18" s="6" t="n">
        <v>14</v>
      </c>
      <c r="B18" s="6" t="inlineStr">
        <is>
          <t>Fri 24 Jul</t>
        </is>
      </c>
      <c r="C18" s="6" t="inlineStr">
        <is>
          <t>Stalden 🇨🇭</t>
        </is>
      </c>
      <c r="D18" s="6" t="inlineStr">
        <is>
          <t>Milan half-day (Duomo, Galleria, Brera) → drive Stalden via Simplon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 ht="15" customHeight="1" s="38">
      <c r="A19" s="6" t="n">
        <v>15</v>
      </c>
      <c r="B19" s="6" t="inlineStr">
        <is>
          <t>Sat 25 Jul</t>
        </is>
      </c>
      <c r="C19" s="6" t="inlineStr">
        <is>
          <t>Moléson-sur-Gruyères 🇨🇭</t>
        </is>
      </c>
      <c r="D19" s="6" t="inlineStr">
        <is>
          <t>Gornergrat AM (train Stalden→Zermatt) · drive PM to Moléson · ⛪ Sat 25 Jul Vigil at Église de Gruyères (5km) or Bulle (8km) — covers Sun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 ht="15" customHeight="1" s="38">
      <c r="A20" s="6" t="n">
        <v>16</v>
      </c>
      <c r="B20" s="6" t="inlineStr">
        <is>
          <t>Sun 26 Jul</t>
        </is>
      </c>
      <c r="C20" s="6" t="inlineStr">
        <is>
          <t>Moléson-sur-Gruyères 🇨🇭</t>
        </is>
      </c>
      <c r="D20" s="6" t="inlineStr">
        <is>
          <t>Geneva day-trip from Moléson · sightseeing only · ⛪ BACKUP if Sat missed: 10:15 Sun Mass at Notre-Dame Geneva (need leave Moléson 08:30)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 ht="15" customHeight="1" s="38">
      <c r="A21" s="6" t="n">
        <v>17</v>
      </c>
      <c r="B21" s="6" t="inlineStr">
        <is>
          <t>Mon 27 Jul</t>
        </is>
      </c>
      <c r="C21" s="6" t="inlineStr">
        <is>
          <t>Ottobeuren (Bavaria) 🇩🇪</t>
        </is>
      </c>
      <c r="D21" s="6" t="inlineStr">
        <is>
          <t>Moléson → Bern stop (Zytglogge, BärenPark) → cross border → Ottobeuren · Hotel Hirsch · Bavarian dinner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 ht="15" customHeight="1" s="38">
      <c r="A22" s="6" t="n">
        <v>18</v>
      </c>
      <c r="B22" s="6" t="inlineStr">
        <is>
          <t>Tue 28 Jul</t>
        </is>
      </c>
      <c r="C22" s="6" t="inlineStr">
        <is>
          <t>Lourdes 🇫🇷</t>
        </is>
      </c>
      <c r="D22" s="6" t="inlineStr">
        <is>
          <t>Ottobeuren → MUC drop car · KLM 11:50→AMS→16:15 TLS · TLS rental · drive Lourdes 19:00 · 21:00 🕯️ Torch Procession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 ht="15" customHeight="1" s="38">
      <c r="A23" s="6" t="n">
        <v>19</v>
      </c>
      <c r="B23" s="6" t="inlineStr">
        <is>
          <t>Wed 29 Jul</t>
        </is>
      </c>
      <c r="C23" s="6" t="inlineStr">
        <is>
          <t>Paris 🇫🇷 (overnight)</t>
        </is>
      </c>
      <c r="D23" s="6" t="inlineStr">
        <is>
          <t>06:15 wake / 07:30 leave · Drive Lourdes→TLS (drop Avis ~09:00) · Tram T2 → Matabiau (~09:15) · 10:20 TGV 8508 → Paris Montparnasse 14:55 · Hotel check-in TBC · Eiffel Tower + Champ de Mars (~17:00) · Notre-Dame exterior + Seine walk · dinner Paris · sleep Paris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 ht="26.25" customHeight="1" s="38">
      <c r="A24" s="7" t="n">
        <v>20</v>
      </c>
      <c r="B24" s="7" t="inlineStr">
        <is>
          <t>Thu 30 Jul</t>
        </is>
      </c>
      <c r="C24" s="7" t="inlineStr">
        <is>
          <t>Amsterdam 💚 (cousin)</t>
        </is>
      </c>
      <c r="D24" s="7" t="inlineStr">
        <is>
          <t>Slow Paris morning · Sacré-Cœur + Montmartre · Louvre + Tuileries · Champs-Élysées + Arc de Triomphe · 19:30 to Gare du Nord · Eurostar 9387 20:22 → Schiphol 23:33 (Coach 13 · Seats 72-76) · cousin pickup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 ht="15" customHeight="1" s="38">
      <c r="A25" s="6" t="n">
        <v>21</v>
      </c>
      <c r="B25" s="6" t="inlineStr">
        <is>
          <t>Fri 31 Jul</t>
        </is>
      </c>
      <c r="C25" s="6" t="inlineStr">
        <is>
          <t>Amsterdam 💚 (cousin)</t>
        </is>
      </c>
      <c r="D25" s="6" t="inlineStr">
        <is>
          <t>Amsterdam Day 1 — Anne Frank House (pre-book!) · Rijksmuseum · Jordaan lunch · Albert Cuyp Market · canal boat option · Vondelpark · canal dinner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 ht="15" customHeight="1" s="38">
      <c r="A26" s="6" t="n">
        <v>22</v>
      </c>
      <c r="B26" s="6" t="inlineStr">
        <is>
          <t>Sat 1 Aug</t>
        </is>
      </c>
      <c r="C26" s="6" t="inlineStr">
        <is>
          <t>Amsterdam 💚 (cousin)</t>
        </is>
      </c>
      <c r="D26" s="6" t="inlineStr">
        <is>
          <t>AMS rest day with cousin (canals, Anne Frank, Vondelpark, Jordaan dinner) · ⛪ Sat 17:00 Vigil at Sint-Nicolaaskerk Amsterdam (covers Sun)</t>
        </is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 ht="15" customHeight="1" s="38">
      <c r="A27" s="7" t="n">
        <v>23</v>
      </c>
      <c r="B27" s="7" t="inlineStr">
        <is>
          <t>Sun 2 Aug</t>
        </is>
      </c>
      <c r="C27" s="7" t="inlineStr">
        <is>
          <t>Copenhagen ✓</t>
        </is>
      </c>
      <c r="D27" s="7" t="inlineStr">
        <is>
          <t>Easy AMS Sun morning · NO Mass · brunch with cousin · return car · fly KLM AMS→CPH evening · ⛪ BACKUP: 10:30 Sun Mass at Sint-Nicolaaskerk AMS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 ht="15" customHeight="1" s="38">
      <c r="A28" s="8" t="n">
        <v>24</v>
      </c>
      <c r="B28" s="8" t="inlineStr">
        <is>
          <t>Mon 3 Aug</t>
        </is>
      </c>
      <c r="C28" s="8" t="inlineStr">
        <is>
          <t>Gothenburg 💙 N1</t>
        </is>
      </c>
      <c r="D28" s="8" t="inlineStr">
        <is>
          <t>CPH morning (Nyhavn, Tivoli) · X2000 train CPH→Gothenburg via Øresund Bridge ~13:00 · sister evening</t>
        </is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 ht="15" customHeight="1" s="38">
      <c r="A29" s="8" t="n">
        <v>25</v>
      </c>
      <c r="B29" s="8" t="inlineStr">
        <is>
          <t>Tue 4 Aug</t>
        </is>
      </c>
      <c r="C29" s="8" t="inlineStr">
        <is>
          <t>Gothenburg 💙 N2</t>
        </is>
      </c>
      <c r="D29" s="8" t="inlineStr">
        <is>
          <t>Full sister day · Liseberg amusement park · Haga cinnamon buns · archipelago boat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26.25" customHeight="1" s="38">
      <c r="A30" s="9" t="inlineStr">
        <is>
          <t>—</t>
        </is>
      </c>
      <c r="B30" s="9" t="inlineStr">
        <is>
          <t>Wed 5 Aug</t>
        </is>
      </c>
      <c r="C30" s="9" t="inlineStr">
        <is>
          <t>Munich day room</t>
        </is>
      </c>
      <c r="D30" s="9" t="inlineStr">
        <is>
          <t>Fly GOT→MUC 06:30 · land 08:30 · Novotel day room · explore Munich · airport by 21:00</t>
        </is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 ht="15" customHeight="1" s="38">
      <c r="A31" s="9" t="inlineStr">
        <is>
          <t>—</t>
        </is>
      </c>
      <c r="B31" s="9" t="inlineStr">
        <is>
          <t>Thu 6 Aug</t>
        </is>
      </c>
      <c r="C31" s="9" t="inlineStr">
        <is>
          <t>Depart CA962 13:00</t>
        </is>
      </c>
      <c r="D31" s="9" t="inlineStr">
        <is>
          <t>Check-in MUC T2 by 10:30 · board 11:00 · depart 13:00 → Beijing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 ht="15" customHeight="1" s="38">
      <c r="A32" s="9" t="inlineStr">
        <is>
          <t>—</t>
        </is>
      </c>
      <c r="B32" s="9" t="inlineStr">
        <is>
          <t>Sat 8 Aug</t>
        </is>
      </c>
      <c r="C32" s="9" t="inlineStr">
        <is>
          <t>Auckland 🏠</t>
        </is>
      </c>
      <c r="D32" s="9" t="inlineStr">
        <is>
          <t>CA783 arrives AKL 16:30 · Great Wall done · home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 ht="15" customHeight="1" s="38">
      <c r="A33" s="10" t="inlineStr">
        <is>
          <t>TOTAL</t>
        </is>
      </c>
      <c r="B33" s="10">
        <f>COUNT(A5:A29)</f>
        <v/>
      </c>
      <c r="C33" s="10" t="inlineStr">
        <is>
          <t>nights confirmed</t>
        </is>
      </c>
      <c r="D33" s="10" t="inlineStr">
        <is>
          <t>Arrive Munich 11 Jul · Last sleep Gothenburg 4 Aug · Depart MUC 6 Aug 13:00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 ht="15.75" customHeight="1" s="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 ht="15.75" customHeight="1" s="3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 ht="15.75" customHeight="1" s="3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 ht="15.75" customHeight="1" s="3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 ht="15.75" customHeight="1" s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 ht="15.75" customHeight="1" s="3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 ht="15.75" customHeight="1" s="3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 ht="15.75" customHeight="1" s="3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 ht="15.75" customHeight="1" s="3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 ht="15.75" customHeight="1" s="3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 ht="15.75" customHeight="1" s="3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 ht="15.75" customHeight="1" s="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 ht="15.75" customHeight="1" s="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 ht="15.75" customHeight="1" s="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 ht="15.75" customHeight="1" s="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 ht="15.75" customHeight="1" s="3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 ht="15.75" customHeight="1" s="3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 ht="15.75" customHeight="1" s="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 ht="15.75" customHeight="1" s="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 ht="15.75" customHeight="1" s="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 ht="15.75" customHeight="1" s="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 ht="15.75" customHeight="1" s="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 ht="15.75" customHeight="1" s="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 ht="15.75" customHeight="1" s="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 ht="15.75" customHeight="1" s="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 ht="15.75" customHeight="1" s="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 ht="15.75" customHeight="1" s="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 ht="15.75" customHeight="1" s="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 ht="15.75" customHeight="1" s="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 ht="15.75" customHeight="1" s="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 ht="15.75" customHeight="1" s="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 ht="15.75" customHeight="1" s="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 ht="15.75" customHeight="1" s="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 ht="15.75" customHeight="1" s="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 ht="15.75" customHeight="1" s="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 ht="15.75" customHeight="1" s="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 ht="15.75" customHeight="1" s="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 ht="15.75" customHeight="1" s="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 ht="15.75" customHeight="1" s="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 ht="15.75" customHeight="1" s="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 ht="15.75" customHeight="1" s="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 ht="15.75" customHeight="1" s="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 ht="15.75" customHeight="1" s="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 ht="15.75" customHeight="1" s="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 ht="15.75" customHeight="1" s="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 ht="15.75" customHeight="1" s="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 ht="15.75" customHeight="1" s="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 ht="15.75" customHeight="1" s="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 ht="15.75" customHeight="1" s="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 ht="15.75" customHeight="1" s="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 ht="15.75" customHeight="1" s="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 ht="15.75" customHeight="1" s="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 ht="15.75" customHeight="1" s="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 ht="15.75" customHeight="1" s="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 ht="15.75" customHeight="1" s="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 ht="15.75" customHeight="1" s="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 ht="15.75" customHeight="1" s="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 ht="15.75" customHeight="1" s="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 ht="15.75" customHeight="1" s="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 ht="15.75" customHeight="1" s="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 ht="15.75" customHeight="1" s="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 ht="15.75" customHeight="1" s="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 ht="15.75" customHeight="1" s="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 ht="15.75" customHeight="1" s="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 ht="15.75" customHeight="1" s="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 ht="15.75" customHeight="1" s="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 ht="15.75" customHeight="1" s="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 ht="15.75" customHeight="1" s="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 ht="15.75" customHeight="1" s="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 ht="15.75" customHeight="1" s="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 ht="15.75" customHeight="1" s="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 ht="15.75" customHeight="1" s="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 ht="15.75" customHeight="1" s="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 ht="15.75" customHeight="1" s="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 ht="15.75" customHeight="1" s="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 ht="15.75" customHeight="1" s="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 ht="15.75" customHeight="1" s="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 ht="15.75" customHeight="1" s="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 ht="15.75" customHeight="1" s="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 ht="15.75" customHeight="1" s="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 ht="15.75" customHeight="1" s="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 ht="15.75" customHeight="1" s="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 ht="15.75" customHeight="1" s="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 ht="15.75" customHeight="1" s="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 ht="15.75" customHeight="1" s="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 ht="15.75" customHeight="1" s="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 ht="15.75" customHeight="1" s="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 ht="15.75" customHeight="1" s="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 ht="15.75" customHeight="1" s="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 ht="15.75" customHeight="1" s="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 ht="15.75" customHeight="1" s="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 ht="15.75" customHeight="1" s="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 ht="15.75" customHeight="1" s="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 ht="15.75" customHeight="1" s="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 ht="15.75" customHeight="1" s="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 ht="15.75" customHeight="1" s="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 ht="15.75" customHeight="1" s="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 ht="15.75" customHeight="1" s="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 ht="15.75" customHeight="1" s="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 ht="15.75" customHeight="1" s="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 ht="15.75" customHeight="1" s="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 ht="15.75" customHeight="1" s="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 ht="15.75" customHeight="1" s="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 ht="15.75" customHeight="1" s="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 ht="15.75" customHeight="1" s="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 ht="15.75" customHeight="1" s="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 ht="15.75" customHeight="1" s="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 ht="15.75" customHeight="1" s="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 ht="15.75" customHeight="1" s="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 ht="15.75" customHeight="1" s="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 ht="15.75" customHeight="1" s="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 ht="15.75" customHeight="1" s="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 ht="15.75" customHeight="1" s="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 ht="15.75" customHeight="1" s="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 ht="15.75" customHeight="1" s="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 ht="15.75" customHeight="1" s="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 ht="15.75" customHeight="1" s="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 ht="15.75" customHeight="1" s="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 ht="15.75" customHeight="1" s="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 ht="15.75" customHeight="1" s="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 ht="15.75" customHeight="1" s="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 ht="15.75" customHeight="1" s="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 ht="15.75" customHeight="1" s="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 ht="15.75" customHeight="1" s="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 ht="15.75" customHeight="1" s="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 ht="15.75" customHeight="1" s="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 ht="15.75" customHeight="1" s="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 ht="15.75" customHeight="1" s="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 ht="15.75" customHeight="1" s="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 ht="15.75" customHeight="1" s="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 ht="15.75" customHeight="1" s="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 ht="15.75" customHeight="1" s="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 ht="15.75" customHeight="1" s="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 ht="15.75" customHeight="1" s="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 ht="15.75" customHeight="1" s="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 ht="15.75" customHeight="1" s="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 ht="15.75" customHeight="1" s="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 ht="15.75" customHeight="1" s="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 ht="15.75" customHeight="1" s="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 ht="15.75" customHeight="1" s="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 ht="15.75" customHeight="1" s="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 ht="15.75" customHeight="1" s="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 ht="15.75" customHeight="1" s="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 ht="15.75" customHeight="1" s="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 ht="15.75" customHeight="1" s="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 ht="15.75" customHeight="1" s="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 ht="15.75" customHeight="1" s="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 ht="15.75" customHeight="1" s="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 ht="15.75" customHeight="1" s="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 ht="15.75" customHeight="1" s="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 ht="15.75" customHeight="1" s="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 ht="15.75" customHeight="1" s="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 ht="15.75" customHeight="1" s="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 ht="15.75" customHeight="1" s="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 ht="15.75" customHeight="1" s="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 ht="15.75" customHeight="1" s="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 ht="15.75" customHeight="1" s="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 ht="15.75" customHeight="1" s="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 ht="15.75" customHeight="1" s="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 ht="15.75" customHeight="1" s="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 ht="15.75" customHeight="1" s="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 ht="15.75" customHeight="1" s="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 ht="15.75" customHeight="1" s="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 ht="15.75" customHeight="1" s="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 ht="15.75" customHeight="1" s="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 ht="15.75" customHeight="1" s="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 ht="15.75" customHeight="1" s="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 ht="15.75" customHeight="1" s="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 ht="15.75" customHeight="1" s="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 ht="15.75" customHeight="1" s="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 ht="15.75" customHeight="1" s="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 ht="15.75" customHeight="1" s="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 ht="15.75" customHeight="1" s="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 ht="15.75" customHeight="1" s="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 ht="15.75" customHeight="1" s="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 ht="15.75" customHeight="1" s="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 ht="15.75" customHeight="1" s="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 ht="15.75" customHeight="1" s="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 ht="15.75" customHeight="1" s="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 ht="15.75" customHeight="1" s="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 ht="15.75" customHeight="1" s="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 ht="15.75" customHeight="1" s="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 ht="15.75" customHeight="1" s="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 ht="15.75" customHeight="1" s="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 ht="15.75" customHeight="1" s="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 ht="15.75" customHeight="1" s="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 ht="15.75" customHeight="1" s="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 ht="15.75" customHeight="1" s="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 ht="15.75" customHeight="1" s="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 ht="15.75" customHeight="1" s="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 ht="15.75" customHeight="1" s="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 ht="15.75" customHeight="1" s="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 ht="15.75" customHeight="1" s="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 ht="15.75" customHeight="1" s="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 ht="15.75" customHeight="1" s="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 ht="15.75" customHeight="1" s="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 ht="15.75" customHeight="1" s="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 ht="15.75" customHeight="1" s="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 ht="15.75" customHeight="1" s="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 ht="15.75" customHeight="1" s="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 ht="15.75" customHeight="1" s="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 ht="15.75" customHeight="1" s="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 ht="15.75" customHeight="1" s="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 ht="15.75" customHeight="1" s="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 ht="15.75" customHeight="1" s="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 ht="15.75" customHeight="1" s="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 ht="15.75" customHeight="1" s="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 ht="15.75" customHeight="1" s="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 ht="15.75" customHeight="1" s="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 ht="15.75" customHeight="1" s="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 ht="15.75" customHeight="1" s="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 ht="15.75" customHeight="1" s="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 ht="15.75" customHeight="1" s="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 ht="15.75" customHeight="1" s="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 ht="15.75" customHeight="1" s="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 ht="15.75" customHeight="1" s="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 ht="15.75" customHeight="1" s="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 ht="15.75" customHeight="1" s="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 ht="15.75" customHeight="1" s="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 ht="15.75" customHeight="1" s="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 ht="15.75" customHeight="1" s="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 ht="15.75" customHeight="1" s="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 ht="15.75" customHeight="1" s="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 ht="15.75" customHeight="1" s="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 ht="15.75" customHeight="1" s="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 ht="15.75" customHeight="1" s="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 ht="15.75" customHeight="1" s="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 ht="15.75" customHeight="1" s="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 ht="15.75" customHeight="1" s="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 ht="15.75" customHeight="1" s="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 ht="15.75" customHeight="1" s="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 ht="15.75" customHeight="1" s="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 ht="15.75" customHeight="1" s="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 ht="15.75" customHeight="1" s="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 ht="15.75" customHeight="1" s="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 ht="15.75" customHeight="1" s="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 ht="15.75" customHeight="1" s="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 ht="15.75" customHeight="1" s="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 ht="15.75" customHeight="1" s="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 ht="15.75" customHeight="1" s="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 ht="15.75" customHeight="1" s="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 ht="15.75" customHeight="1" s="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 ht="15.75" customHeight="1" s="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 ht="15.75" customHeight="1" s="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 ht="15.75" customHeight="1" s="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 ht="15.75" customHeight="1" s="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 ht="15.75" customHeight="1" s="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 ht="15.75" customHeight="1" s="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 ht="15.75" customHeight="1" s="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 ht="15.75" customHeight="1" s="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 ht="15.75" customHeight="1" s="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 ht="15.75" customHeight="1" s="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 ht="15.75" customHeight="1" s="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 ht="15.75" customHeight="1" s="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 ht="15.75" customHeight="1" s="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 ht="15.75" customHeight="1" s="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 ht="15.75" customHeight="1" s="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 ht="15.75" customHeight="1" s="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 ht="15.75" customHeight="1" s="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 ht="15.75" customHeight="1" s="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 ht="15.75" customHeight="1" s="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 ht="15.75" customHeight="1" s="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 ht="15.75" customHeight="1" s="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 ht="15.75" customHeight="1" s="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 ht="15.75" customHeight="1" s="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 ht="15.75" customHeight="1" s="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 ht="15.75" customHeight="1" s="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 ht="15.75" customHeight="1" s="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 ht="15.75" customHeight="1" s="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 ht="15.75" customHeight="1" s="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 ht="15.75" customHeight="1" s="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 ht="15.75" customHeight="1" s="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 ht="15.75" customHeight="1" s="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 ht="15.75" customHeight="1" s="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 ht="15.75" customHeight="1" s="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 ht="15.75" customHeight="1" s="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 ht="15.75" customHeight="1" s="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 ht="15.75" customHeight="1" s="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 ht="15.75" customHeight="1" s="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 ht="15.75" customHeight="1" s="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 ht="15.75" customHeight="1" s="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 ht="15.75" customHeight="1" s="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 ht="15.75" customHeight="1" s="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 ht="15.75" customHeight="1" s="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 ht="15.75" customHeight="1" s="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 ht="15.75" customHeight="1" s="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 ht="15.75" customHeight="1" s="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 ht="15.75" customHeight="1" s="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 ht="15.75" customHeight="1" s="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 ht="15.75" customHeight="1" s="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 ht="15.75" customHeight="1" s="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 ht="15.75" customHeight="1" s="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 ht="15.75" customHeight="1" s="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 ht="15.75" customHeight="1" s="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 ht="15.75" customHeight="1" s="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 ht="15.75" customHeight="1" s="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 ht="15.75" customHeight="1" s="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 ht="15.75" customHeight="1" s="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 ht="15.75" customHeight="1" s="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 ht="15.75" customHeight="1" s="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 ht="15.75" customHeight="1" s="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 ht="15.75" customHeight="1" s="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 ht="15.75" customHeight="1" s="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 ht="15.75" customHeight="1" s="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 ht="15.75" customHeight="1" s="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 ht="15.75" customHeight="1" s="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 ht="15.75" customHeight="1" s="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 ht="15.75" customHeight="1" s="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 ht="15.75" customHeight="1" s="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 ht="15.75" customHeight="1" s="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 ht="15.75" customHeight="1" s="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 ht="15.75" customHeight="1" s="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 ht="15.75" customHeight="1" s="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 ht="15.75" customHeight="1" s="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 ht="15.75" customHeight="1" s="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 ht="15.75" customHeight="1" s="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 ht="15.75" customHeight="1" s="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 ht="15.75" customHeight="1" s="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 ht="15.75" customHeight="1" s="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 ht="15.75" customHeight="1" s="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 ht="15.75" customHeight="1" s="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 ht="15.75" customHeight="1" s="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 ht="15.75" customHeight="1" s="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 ht="15.75" customHeight="1" s="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 ht="15.75" customHeight="1" s="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 ht="15.75" customHeight="1" s="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 ht="15.75" customHeight="1" s="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 ht="15.75" customHeight="1" s="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 ht="15.75" customHeight="1" s="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 ht="15.75" customHeight="1" s="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 ht="15.75" customHeight="1" s="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 ht="15.75" customHeight="1" s="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 ht="15.75" customHeight="1" s="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 ht="15.75" customHeight="1" s="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 ht="15.75" customHeight="1" s="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 ht="15.75" customHeight="1" s="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 ht="15.75" customHeight="1" s="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 ht="15.75" customHeight="1" s="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 ht="15.75" customHeight="1" s="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 ht="15.75" customHeight="1" s="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 ht="15.75" customHeight="1" s="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 ht="15.75" customHeight="1" s="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 ht="15.75" customHeight="1" s="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 ht="15.75" customHeight="1" s="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 ht="15.75" customHeight="1" s="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 ht="15.75" customHeight="1" s="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 ht="15.75" customHeight="1" s="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 ht="15.75" customHeight="1" s="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 ht="15.75" customHeight="1" s="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 ht="15.75" customHeight="1" s="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 ht="15.75" customHeight="1" s="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 ht="15.75" customHeight="1" s="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 ht="15.75" customHeight="1" s="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 ht="15.75" customHeight="1" s="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 ht="15.75" customHeight="1" s="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 ht="15.75" customHeight="1" s="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 ht="15.75" customHeight="1" s="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 ht="15.75" customHeight="1" s="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 ht="15.75" customHeight="1" s="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 ht="15.75" customHeight="1" s="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 ht="15.75" customHeight="1" s="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 ht="15.75" customHeight="1" s="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 ht="15.75" customHeight="1" s="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 ht="15.75" customHeight="1" s="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 ht="15.75" customHeight="1" s="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 ht="15.75" customHeight="1" s="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 ht="15.75" customHeight="1" s="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 ht="15.75" customHeight="1" s="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 ht="15.75" customHeight="1" s="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 ht="15.75" customHeight="1" s="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 ht="15.75" customHeight="1" s="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 ht="15.75" customHeight="1" s="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 ht="15.75" customHeight="1" s="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 ht="15.75" customHeight="1" s="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 ht="15.75" customHeight="1" s="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 ht="15.75" customHeight="1" s="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 ht="15.75" customHeight="1" s="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 ht="15.75" customHeight="1" s="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 ht="15.75" customHeight="1" s="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 ht="15.75" customHeight="1" s="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 ht="15.75" customHeight="1" s="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 ht="15.75" customHeight="1" s="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 ht="15.75" customHeight="1" s="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 ht="15.75" customHeight="1" s="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 ht="15.75" customHeight="1" s="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 ht="15.75" customHeight="1" s="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 ht="15.75" customHeight="1" s="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 ht="15.75" customHeight="1" s="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 ht="15.75" customHeight="1" s="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 ht="15.75" customHeight="1" s="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 ht="15.75" customHeight="1" s="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 ht="15.75" customHeight="1" s="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 ht="15.75" customHeight="1" s="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 ht="15.75" customHeight="1" s="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 ht="15.75" customHeight="1" s="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 ht="15.75" customHeight="1" s="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 ht="15.75" customHeight="1" s="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 ht="15.75" customHeight="1" s="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 ht="15.75" customHeight="1" s="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 ht="15.75" customHeight="1" s="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 ht="15.75" customHeight="1" s="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 ht="15.75" customHeight="1" s="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 ht="15.75" customHeight="1" s="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 ht="15.75" customHeight="1" s="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 ht="15.75" customHeight="1" s="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 ht="15.75" customHeight="1" s="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 ht="15.75" customHeight="1" s="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 ht="15.75" customHeight="1" s="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 ht="15.75" customHeight="1" s="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 ht="15.75" customHeight="1" s="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 ht="15.75" customHeight="1" s="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 ht="15.75" customHeight="1" s="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 ht="15.75" customHeight="1" s="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 ht="15.75" customHeight="1" s="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 ht="15.75" customHeight="1" s="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 ht="15.75" customHeight="1" s="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 ht="15.75" customHeight="1" s="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 ht="15.75" customHeight="1" s="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 ht="15.75" customHeight="1" s="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 ht="15.75" customHeight="1" s="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 ht="15.75" customHeight="1" s="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 ht="15.75" customHeight="1" s="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 ht="15.75" customHeight="1" s="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 ht="15.75" customHeight="1" s="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 ht="15.75" customHeight="1" s="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 ht="15.75" customHeight="1" s="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 ht="15.75" customHeight="1" s="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 ht="15.75" customHeight="1" s="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 ht="15.75" customHeight="1" s="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 ht="15.75" customHeight="1" s="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 ht="15.75" customHeight="1" s="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 ht="15.75" customHeight="1" s="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 ht="15.75" customHeight="1" s="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 ht="15.75" customHeight="1" s="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 ht="15.75" customHeight="1" s="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 ht="15.75" customHeight="1" s="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 ht="15.75" customHeight="1" s="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 ht="15.75" customHeight="1" s="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 ht="15.75" customHeight="1" s="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 ht="15.75" customHeight="1" s="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 ht="15.75" customHeight="1" s="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 ht="15.75" customHeight="1" s="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 ht="15.75" customHeight="1" s="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 ht="15.75" customHeight="1" s="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 ht="15.75" customHeight="1" s="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 ht="15.75" customHeight="1" s="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 ht="15.75" customHeight="1" s="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 ht="15.75" customHeight="1" s="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 ht="15.75" customHeight="1" s="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 ht="15.75" customHeight="1" s="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 ht="15.75" customHeight="1" s="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 ht="15.75" customHeight="1" s="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 ht="15.75" customHeight="1" s="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 ht="15.75" customHeight="1" s="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 ht="15.75" customHeight="1" s="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 ht="15.75" customHeight="1" s="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 ht="15.75" customHeight="1" s="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 ht="15.75" customHeight="1" s="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 ht="15.75" customHeight="1" s="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 ht="15.75" customHeight="1" s="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 ht="15.75" customHeight="1" s="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 ht="15.75" customHeight="1" s="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 ht="15.75" customHeight="1" s="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 ht="15.75" customHeight="1" s="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 ht="15.75" customHeight="1" s="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 ht="15.75" customHeight="1" s="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 ht="15.75" customHeight="1" s="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 ht="15.75" customHeight="1" s="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 ht="15.75" customHeight="1" s="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 ht="15.75" customHeight="1" s="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 ht="15.75" customHeight="1" s="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 ht="15.75" customHeight="1" s="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 ht="15.75" customHeight="1" s="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 ht="15.75" customHeight="1" s="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 ht="15.75" customHeight="1" s="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 ht="15.75" customHeight="1" s="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 ht="15.75" customHeight="1" s="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 ht="15.75" customHeight="1" s="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 ht="15.75" customHeight="1" s="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 ht="15.75" customHeight="1" s="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 ht="15.75" customHeight="1" s="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 ht="15.75" customHeight="1" s="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 ht="15.75" customHeight="1" s="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 ht="15.75" customHeight="1" s="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 ht="15.75" customHeight="1" s="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 ht="15.75" customHeight="1" s="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 ht="15.75" customHeight="1" s="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 ht="15.75" customHeight="1" s="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 ht="15.75" customHeight="1" s="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 ht="15.75" customHeight="1" s="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 ht="15.75" customHeight="1" s="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 ht="15.75" customHeight="1" s="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 ht="15.75" customHeight="1" s="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 ht="15.75" customHeight="1" s="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 ht="15.75" customHeight="1" s="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 ht="15.75" customHeight="1" s="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 ht="15.75" customHeight="1" s="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 ht="15.75" customHeight="1" s="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 ht="15.75" customHeight="1" s="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 ht="15.75" customHeight="1" s="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 ht="15.75" customHeight="1" s="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 ht="15.75" customHeight="1" s="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 ht="15.75" customHeight="1" s="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 ht="15.75" customHeight="1" s="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 ht="15.75" customHeight="1" s="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 ht="15.75" customHeight="1" s="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 ht="15.75" customHeight="1" s="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 ht="15.75" customHeight="1" s="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 ht="15.75" customHeight="1" s="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 ht="15.75" customHeight="1" s="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 ht="15.75" customHeight="1" s="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 ht="15.75" customHeight="1" s="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 ht="15.75" customHeight="1" s="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 ht="15.75" customHeight="1" s="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 ht="15.75" customHeight="1" s="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 ht="15.75" customHeight="1" s="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 ht="15.75" customHeight="1" s="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 ht="15.75" customHeight="1" s="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 ht="15.75" customHeight="1" s="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 ht="15.75" customHeight="1" s="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 ht="15.75" customHeight="1" s="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 ht="15.75" customHeight="1" s="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 ht="15.75" customHeight="1" s="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 ht="15.75" customHeight="1" s="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 ht="15.75" customHeight="1" s="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 ht="15.75" customHeight="1" s="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 ht="15.75" customHeight="1" s="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 ht="15.75" customHeight="1" s="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 ht="15.75" customHeight="1" s="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 ht="15.75" customHeight="1" s="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 ht="15.75" customHeight="1" s="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 ht="15.75" customHeight="1" s="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 ht="15.75" customHeight="1" s="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 ht="15.75" customHeight="1" s="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 ht="15.75" customHeight="1" s="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 ht="15.75" customHeight="1" s="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 ht="15.75" customHeight="1" s="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 ht="15.75" customHeight="1" s="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 ht="15.75" customHeight="1" s="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 ht="15.75" customHeight="1" s="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 ht="15.75" customHeight="1" s="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 ht="15.75" customHeight="1" s="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 ht="15.75" customHeight="1" s="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 ht="15.75" customHeight="1" s="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 ht="15.75" customHeight="1" s="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 ht="15.75" customHeight="1" s="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 ht="15.75" customHeight="1" s="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 ht="15.75" customHeight="1" s="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 ht="15.75" customHeight="1" s="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 ht="15.75" customHeight="1" s="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 ht="15.75" customHeight="1" s="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 ht="15.75" customHeight="1" s="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 ht="15.75" customHeight="1" s="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 ht="15.75" customHeight="1" s="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 ht="15.75" customHeight="1" s="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 ht="15.75" customHeight="1" s="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 ht="15.75" customHeight="1" s="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 ht="15.75" customHeight="1" s="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 ht="15.75" customHeight="1" s="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 ht="15.75" customHeight="1" s="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 ht="15.75" customHeight="1" s="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 ht="15.75" customHeight="1" s="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 ht="15.75" customHeight="1" s="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 ht="15.75" customHeight="1" s="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 ht="15.75" customHeight="1" s="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 ht="15.75" customHeight="1" s="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 ht="15.75" customHeight="1" s="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 ht="15.75" customHeight="1" s="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 ht="15.75" customHeight="1" s="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 ht="15.75" customHeight="1" s="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 ht="15.75" customHeight="1" s="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 ht="15.75" customHeight="1" s="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 ht="15.75" customHeight="1" s="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 ht="15.75" customHeight="1" s="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 ht="15.75" customHeight="1" s="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 ht="15.75" customHeight="1" s="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 ht="15.75" customHeight="1" s="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 ht="15.75" customHeight="1" s="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 ht="15.75" customHeight="1" s="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 ht="15.75" customHeight="1" s="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 ht="15.75" customHeight="1" s="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 ht="15.75" customHeight="1" s="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 ht="15.75" customHeight="1" s="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 ht="15.75" customHeight="1" s="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 ht="15.75" customHeight="1" s="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 ht="15.75" customHeight="1" s="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 ht="15.75" customHeight="1" s="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 ht="15.75" customHeight="1" s="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 ht="15.75" customHeight="1" s="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 ht="15.75" customHeight="1" s="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 ht="15.75" customHeight="1" s="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 ht="15.75" customHeight="1" s="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 ht="15.75" customHeight="1" s="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 ht="15.75" customHeight="1" s="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 ht="15.75" customHeight="1" s="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 ht="15.75" customHeight="1" s="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 ht="15.75" customHeight="1" s="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 ht="15.75" customHeight="1" s="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 ht="15.75" customHeight="1" s="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 ht="15.75" customHeight="1" s="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 ht="15.75" customHeight="1" s="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 ht="15.75" customHeight="1" s="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 ht="15.75" customHeight="1" s="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 ht="15.75" customHeight="1" s="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 ht="15.75" customHeight="1" s="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 ht="15.75" customHeight="1" s="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 ht="15.75" customHeight="1" s="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 ht="15.75" customHeight="1" s="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 ht="15.75" customHeight="1" s="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 ht="15.75" customHeight="1" s="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 ht="15.75" customHeight="1" s="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 ht="15.75" customHeight="1" s="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 ht="15.75" customHeight="1" s="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 ht="15.75" customHeight="1" s="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 ht="15.75" customHeight="1" s="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 ht="15.75" customHeight="1" s="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 ht="15.75" customHeight="1" s="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 ht="15.75" customHeight="1" s="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 ht="15.75" customHeight="1" s="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 ht="15.75" customHeight="1" s="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 ht="15.75" customHeight="1" s="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 ht="15.75" customHeight="1" s="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 ht="15.75" customHeight="1" s="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 ht="15.75" customHeight="1" s="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 ht="15.75" customHeight="1" s="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 ht="15.75" customHeight="1" s="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 ht="15.75" customHeight="1" s="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 ht="15.75" customHeight="1" s="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 ht="15.75" customHeight="1" s="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 ht="15.75" customHeight="1" s="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 ht="15.75" customHeight="1" s="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 ht="15.75" customHeight="1" s="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 ht="15.75" customHeight="1" s="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 ht="15.75" customHeight="1" s="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 ht="15.75" customHeight="1" s="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 ht="15.75" customHeight="1" s="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 ht="15.75" customHeight="1" s="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 ht="15.75" customHeight="1" s="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 ht="15.75" customHeight="1" s="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 ht="15.75" customHeight="1" s="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 ht="15.75" customHeight="1" s="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 ht="15.75" customHeight="1" s="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 ht="15.75" customHeight="1" s="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 ht="15.75" customHeight="1" s="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 ht="15.75" customHeight="1" s="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 ht="15.75" customHeight="1" s="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 ht="15.75" customHeight="1" s="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 ht="15.75" customHeight="1" s="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 ht="15.75" customHeight="1" s="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 ht="15.75" customHeight="1" s="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 ht="15.75" customHeight="1" s="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 ht="15.75" customHeight="1" s="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 ht="15.75" customHeight="1" s="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 ht="15.75" customHeight="1" s="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 ht="15.75" customHeight="1" s="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 ht="15.75" customHeight="1" s="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 ht="15.75" customHeight="1" s="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 ht="15.75" customHeight="1" s="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 ht="15.75" customHeight="1" s="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 ht="15.75" customHeight="1" s="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 ht="15.75" customHeight="1" s="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 ht="15.75" customHeight="1" s="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 ht="15.75" customHeight="1" s="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 ht="15.75" customHeight="1" s="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 ht="15.75" customHeight="1" s="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 ht="15.75" customHeight="1" s="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 ht="15.75" customHeight="1" s="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 ht="15.75" customHeight="1" s="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 ht="15.75" customHeight="1" s="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 ht="15.75" customHeight="1" s="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 ht="15.75" customHeight="1" s="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 ht="15.75" customHeight="1" s="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 ht="15.75" customHeight="1" s="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 ht="15.75" customHeight="1" s="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 ht="15.75" customHeight="1" s="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 ht="15.75" customHeight="1" s="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 ht="15.75" customHeight="1" s="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 ht="15.75" customHeight="1" s="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 ht="15.75" customHeight="1" s="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 ht="15.75" customHeight="1" s="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 ht="15.75" customHeight="1" s="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 ht="15.75" customHeight="1" s="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 ht="15.75" customHeight="1" s="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 ht="15.75" customHeight="1" s="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 ht="15.75" customHeight="1" s="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 ht="15.75" customHeight="1" s="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 ht="15.75" customHeight="1" s="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 ht="15.75" customHeight="1" s="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 ht="15.75" customHeight="1" s="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 ht="15.75" customHeight="1" s="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 ht="15.75" customHeight="1" s="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 ht="15.75" customHeight="1" s="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 ht="15.75" customHeight="1" s="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 ht="15.75" customHeight="1" s="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 ht="15.75" customHeight="1" s="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 ht="15.75" customHeight="1" s="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 ht="15.75" customHeight="1" s="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 ht="15.75" customHeight="1" s="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 ht="15.75" customHeight="1" s="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 ht="15.75" customHeight="1" s="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 ht="15.75" customHeight="1" s="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 ht="15.75" customHeight="1" s="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 ht="15.75" customHeight="1" s="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 ht="15.75" customHeight="1" s="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 ht="15.75" customHeight="1" s="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 ht="15.75" customHeight="1" s="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 ht="15.75" customHeight="1" s="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 ht="15.75" customHeight="1" s="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 ht="15.75" customHeight="1" s="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 ht="15.75" customHeight="1" s="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 ht="15.75" customHeight="1" s="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 ht="15.75" customHeight="1" s="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 ht="15.75" customHeight="1" s="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 ht="15.75" customHeight="1" s="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 ht="15.75" customHeight="1" s="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 ht="15.75" customHeight="1" s="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 ht="15.75" customHeight="1" s="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 ht="15.75" customHeight="1" s="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 ht="15.75" customHeight="1" s="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 ht="15.75" customHeight="1" s="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 ht="15.75" customHeight="1" s="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 ht="15.75" customHeight="1" s="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 ht="15.75" customHeight="1" s="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 ht="15.75" customHeight="1" s="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 ht="15.75" customHeight="1" s="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 ht="15.75" customHeight="1" s="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 ht="15.75" customHeight="1" s="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 ht="15.75" customHeight="1" s="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 ht="15.75" customHeight="1" s="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 ht="15.75" customHeight="1" s="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 ht="15.75" customHeight="1" s="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 ht="15.75" customHeight="1" s="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 ht="15.75" customHeight="1" s="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 ht="15.75" customHeight="1" s="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 ht="15.75" customHeight="1" s="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 ht="15.75" customHeight="1" s="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 ht="15.75" customHeight="1" s="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 ht="15.75" customHeight="1" s="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 ht="15.75" customHeight="1" s="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 ht="15.75" customHeight="1" s="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 ht="15.75" customHeight="1" s="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 ht="15.75" customHeight="1" s="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 ht="15.75" customHeight="1" s="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 ht="15.75" customHeight="1" s="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 ht="15.75" customHeight="1" s="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 ht="15.75" customHeight="1" s="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 ht="15.75" customHeight="1" s="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 ht="15.75" customHeight="1" s="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 ht="15.75" customHeight="1" s="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 ht="15.75" customHeight="1" s="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 ht="15.75" customHeight="1" s="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 ht="15.75" customHeight="1" s="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 ht="15.75" customHeight="1" s="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 ht="15.75" customHeight="1" s="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 ht="15.75" customHeight="1" s="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 ht="15.75" customHeight="1" s="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 ht="15.75" customHeight="1" s="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 ht="15.75" customHeight="1" s="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 ht="15.75" customHeight="1" s="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 ht="15.75" customHeight="1" s="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 ht="15.75" customHeight="1" s="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 ht="15.75" customHeight="1" s="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 ht="15.75" customHeight="1" s="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 ht="15.75" customHeight="1" s="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 ht="15.75" customHeight="1" s="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 ht="15.75" customHeight="1" s="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 ht="15.75" customHeight="1" s="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 ht="15.75" customHeight="1" s="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 ht="15.75" customHeight="1" s="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 ht="15.75" customHeight="1" s="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 ht="15.75" customHeight="1" s="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 ht="15.75" customHeight="1" s="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 ht="15.75" customHeight="1" s="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 ht="15.75" customHeight="1" s="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 ht="15.75" customHeight="1" s="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 ht="15.75" customHeight="1" s="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 ht="15.75" customHeight="1" s="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 ht="15.75" customHeight="1" s="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 ht="15.75" customHeight="1" s="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 ht="15.75" customHeight="1" s="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 ht="15.75" customHeight="1" s="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 ht="15.75" customHeight="1" s="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 ht="15.75" customHeight="1" s="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 ht="15.75" customHeight="1" s="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 ht="15.75" customHeight="1" s="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 ht="15.75" customHeight="1" s="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 ht="15.75" customHeight="1" s="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 ht="15.75" customHeight="1" s="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 ht="15.75" customHeight="1" s="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 ht="15.75" customHeight="1" s="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 ht="15.75" customHeight="1" s="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 ht="15.75" customHeight="1" s="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 ht="15.75" customHeight="1" s="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 ht="15.75" customHeight="1" s="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 ht="15.75" customHeight="1" s="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 ht="15.75" customHeight="1" s="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 ht="15.75" customHeight="1" s="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 ht="15.75" customHeight="1" s="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 ht="15.75" customHeight="1" s="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 ht="15.75" customHeight="1" s="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 ht="15.75" customHeight="1" s="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 ht="15.75" customHeight="1" s="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 ht="15.75" customHeight="1" s="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 ht="15.75" customHeight="1" s="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 ht="15.75" customHeight="1" s="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 ht="15.75" customHeight="1" s="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 ht="15.75" customHeight="1" s="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 ht="15.75" customHeight="1" s="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 ht="15.75" customHeight="1" s="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 ht="15.75" customHeight="1" s="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 ht="15.75" customHeight="1" s="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 ht="15.75" customHeight="1" s="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 ht="15.75" customHeight="1" s="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 ht="15.75" customHeight="1" s="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 ht="15.75" customHeight="1" s="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 ht="15.75" customHeight="1" s="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 ht="15.75" customHeight="1" s="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 ht="15.75" customHeight="1" s="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 ht="15.75" customHeight="1" s="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 ht="15.75" customHeight="1" s="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 ht="15.75" customHeight="1" s="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 ht="15.75" customHeight="1" s="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 ht="15.75" customHeight="1" s="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 ht="15.75" customHeight="1" s="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 ht="15.75" customHeight="1" s="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 ht="15.75" customHeight="1" s="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 ht="15.75" customHeight="1" s="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 ht="15.75" customHeight="1" s="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 ht="15.75" customHeight="1" s="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 ht="15.75" customHeight="1" s="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 ht="15.75" customHeight="1" s="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 ht="15.75" customHeight="1" s="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 ht="15.75" customHeight="1" s="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 ht="15.75" customHeight="1" s="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 ht="15.75" customHeight="1" s="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 ht="15.75" customHeight="1" s="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 ht="15.75" customHeight="1" s="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 ht="15.75" customHeight="1" s="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 ht="15.75" customHeight="1" s="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 ht="15.75" customHeight="1" s="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 ht="15.75" customHeight="1" s="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 ht="15.75" customHeight="1" s="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 ht="15.75" customHeight="1" s="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 ht="15.75" customHeight="1" s="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 ht="15.75" customHeight="1" s="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 ht="15.75" customHeight="1" s="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 ht="15.75" customHeight="1" s="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 ht="15.75" customHeight="1" s="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 ht="15.75" customHeight="1" s="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 ht="15.75" customHeight="1" s="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 ht="15.75" customHeight="1" s="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 ht="15.75" customHeight="1" s="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 ht="15.75" customHeight="1" s="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 ht="15.75" customHeight="1" s="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 ht="15.75" customHeight="1" s="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 ht="15.75" customHeight="1" s="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 ht="15.75" customHeight="1" s="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 ht="15.75" customHeight="1" s="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 ht="15.75" customHeight="1" s="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 ht="15.75" customHeight="1" s="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 ht="15.75" customHeight="1" s="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 ht="15.75" customHeight="1" s="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 ht="15.75" customHeight="1" s="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 ht="15.75" customHeight="1" s="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 ht="15.75" customHeight="1" s="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 ht="15.75" customHeight="1" s="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 ht="15.75" customHeight="1" s="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 ht="15.75" customHeight="1" s="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 ht="15.75" customHeight="1" s="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 ht="15.75" customHeight="1" s="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 ht="15.75" customHeight="1" s="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 ht="15.75" customHeight="1" s="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 ht="15.75" customHeight="1" s="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 ht="15.75" customHeight="1" s="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 ht="15.75" customHeight="1" s="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 ht="15.75" customHeight="1" s="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 ht="15.75" customHeight="1" s="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 ht="15.75" customHeight="1" s="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 ht="15.75" customHeight="1" s="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 ht="15.75" customHeight="1" s="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 ht="15.75" customHeight="1" s="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 ht="15.75" customHeight="1" s="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 ht="15.75" customHeight="1" s="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 ht="15.75" customHeight="1" s="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 ht="15.75" customHeight="1" s="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 ht="15.75" customHeight="1" s="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 ht="15.75" customHeight="1" s="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 ht="15.75" customHeight="1" s="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 ht="15.75" customHeight="1" s="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 ht="15.75" customHeight="1" s="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 ht="15.75" customHeight="1" s="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 ht="15.75" customHeight="1" s="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 ht="15.75" customHeight="1" s="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 ht="15.75" customHeight="1" s="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 ht="15.75" customHeight="1" s="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 ht="15.75" customHeight="1" s="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 ht="15.75" customHeight="1" s="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 ht="15.75" customHeight="1" s="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 ht="15.75" customHeight="1" s="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 ht="15.75" customHeight="1" s="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 ht="15.75" customHeight="1" s="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 ht="15.75" customHeight="1" s="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 ht="15.75" customHeight="1" s="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 ht="15.75" customHeight="1" s="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 ht="15.75" customHeight="1" s="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 ht="15.75" customHeight="1" s="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 ht="15.75" customHeight="1" s="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 ht="15.75" customHeight="1" s="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 ht="15.75" customHeight="1" s="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 ht="15.75" customHeight="1" s="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 ht="15.75" customHeight="1" s="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 ht="15.75" customHeight="1" s="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 ht="15.75" customHeight="1" s="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 ht="15.75" customHeight="1" s="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 ht="15.75" customHeight="1" s="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 ht="15.75" customHeight="1" s="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 ht="15.75" customHeight="1" s="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 ht="15.75" customHeight="1" s="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 ht="15.75" customHeight="1" s="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 ht="15.75" customHeight="1" s="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 ht="15.75" customHeight="1" s="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 ht="15.75" customHeight="1" s="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 ht="15.75" customHeight="1" s="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 ht="15.75" customHeight="1" s="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 ht="15.75" customHeight="1" s="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 ht="15.75" customHeight="1" s="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 ht="15.75" customHeight="1" s="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 ht="15.75" customHeight="1" s="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 ht="15.75" customHeight="1" s="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 ht="15.75" customHeight="1" s="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 ht="15.75" customHeight="1" s="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 ht="15.75" customHeight="1" s="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 ht="15.75" customHeight="1" s="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 ht="15.75" customHeight="1" s="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 ht="15.75" customHeight="1" s="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 ht="15.75" customHeight="1" s="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 ht="15.75" customHeight="1" s="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 ht="15.75" customHeight="1" s="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 ht="15.75" customHeight="1" s="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 ht="15.75" customHeight="1" s="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 ht="15.75" customHeight="1" s="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 ht="15.75" customHeight="1" s="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 ht="15.75" customHeight="1" s="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 ht="15.75" customHeight="1" s="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 ht="15.75" customHeight="1" s="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 ht="15.75" customHeight="1" s="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 ht="15.75" customHeight="1" s="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 ht="15.75" customHeight="1" s="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 ht="15.75" customHeight="1" s="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 ht="15.75" customHeight="1" s="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 ht="15.75" customHeight="1" s="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 ht="15.75" customHeight="1" s="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 ht="15.75" customHeight="1" s="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 ht="15.75" customHeight="1" s="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 ht="15.75" customHeight="1" s="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 ht="15.75" customHeight="1" s="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 ht="15.75" customHeight="1" s="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 ht="15.75" customHeight="1" s="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 ht="15.75" customHeight="1" s="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 ht="15.75" customHeight="1" s="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 ht="15.75" customHeight="1" s="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 ht="15.75" customHeight="1" s="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 ht="15.75" customHeight="1" s="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 ht="15.75" customHeight="1" s="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 ht="15.75" customHeight="1" s="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 ht="15.75" customHeight="1" s="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38" min="1" max="1"/>
    <col width="12" customWidth="1" style="38" min="2" max="2"/>
    <col width="22" customWidth="1" style="38" min="3" max="3"/>
    <col width="24" customWidth="1" style="38" min="4" max="4"/>
    <col width="28" customWidth="1" style="38" min="5" max="5"/>
    <col width="30" customWidth="1" style="38" min="6" max="6"/>
    <col width="22" customWidth="1" style="38" min="7" max="8"/>
    <col width="60" customWidth="1" style="38" min="9" max="9"/>
    <col width="8.710000000000001" customWidth="1" style="38" min="10" max="10"/>
    <col width="11.71" customWidth="1" style="38" min="11" max="11"/>
  </cols>
  <sheetData>
    <row r="1" ht="24" customHeight="1" s="38">
      <c r="A1" s="1" t="inlineStr">
        <is>
          <t>Day-by-Day Itinerary</t>
        </is>
      </c>
      <c r="J1" s="2" t="n"/>
      <c r="K1" s="2" t="n"/>
    </row>
    <row r="2" ht="18" customHeight="1" s="38">
      <c r="A2" s="3" t="inlineStr">
        <is>
          <t>Country &amp; city for every day · driving distances · hotels with booking links</t>
        </is>
      </c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5" customHeight="1" s="38">
      <c r="A4" s="4" t="inlineStr">
        <is>
          <t>Day</t>
        </is>
      </c>
      <c r="B4" s="4" t="inlineStr">
        <is>
          <t>Date</t>
        </is>
      </c>
      <c r="C4" s="4" t="inlineStr">
        <is>
          <t>Country</t>
        </is>
      </c>
      <c r="D4" s="4" t="inlineStr">
        <is>
          <t>City</t>
        </is>
      </c>
      <c r="E4" s="4" t="inlineStr">
        <is>
          <t>Hotel</t>
        </is>
      </c>
      <c r="F4" s="4" t="inlineStr">
        <is>
          <t>From → To</t>
        </is>
      </c>
      <c r="G4" s="4" t="inlineStr">
        <is>
          <t>Distance / Time</t>
        </is>
      </c>
      <c r="H4" s="4" t="inlineStr">
        <is>
          <t>Start Time</t>
        </is>
      </c>
      <c r="I4" s="4" t="inlineStr">
        <is>
          <t>Description</t>
        </is>
      </c>
      <c r="J4" s="4" t="inlineStr">
        <is>
          <t>Cost</t>
        </is>
      </c>
      <c r="K4" s="2" t="n"/>
    </row>
    <row r="5" ht="54.75" customHeight="1" s="38">
      <c r="A5" s="6" t="n">
        <v>0</v>
      </c>
      <c r="B5" s="6" t="inlineStr">
        <is>
          <t>Sat 11 Jul</t>
        </is>
      </c>
      <c r="C5" s="6" t="inlineStr">
        <is>
          <t>Germany 🇩🇪</t>
        </is>
      </c>
      <c r="D5" s="6" t="inlineStr">
        <is>
          <t>Munich</t>
        </is>
      </c>
      <c r="E5" s="11" t="inlineStr">
        <is>
          <t>Budget Car Rental</t>
        </is>
      </c>
      <c r="F5" s="6" t="n"/>
      <c r="G5" s="6" t="n"/>
      <c r="H5" s="6" t="inlineStr">
        <is>
          <t>8.30am</t>
        </is>
      </c>
      <c r="I5" s="6" t="inlineStr">
        <is>
          <t>Land MUC T2 07:05. Collect rental car ~09:00. Drive ~3hrs to Austrian castle hotel. Saturday Vigil 19:00 at Stiftskirche Spital am Pyhrn (~30 min south) — covers Sunday obligation.</t>
        </is>
      </c>
      <c r="J5" s="12" t="n">
        <v>1372.08</v>
      </c>
      <c r="K5" s="12" t="n"/>
    </row>
    <row r="6" ht="54.75" customHeight="1" s="38">
      <c r="A6" s="6" t="n">
        <v>1</v>
      </c>
      <c r="B6" s="6" t="inlineStr">
        <is>
          <t>Sat 11 Jul</t>
        </is>
      </c>
      <c r="C6" s="6" t="inlineStr">
        <is>
          <t>Austria 🇦🇹</t>
        </is>
      </c>
      <c r="D6" s="6" t="inlineStr">
        <is>
          <t>Burg Altpernstein (Upper Austria)</t>
        </is>
      </c>
      <c r="E6" s="13" t="inlineStr">
        <is>
          <t>Burg Altpernstein (Altpernstein 1, 4563 Micheldorf, Austria)</t>
        </is>
      </c>
      <c r="F6" s="6" t="inlineStr">
        <is>
          <t>Munich (land) → Burg Altpernstein</t>
        </is>
      </c>
      <c r="G6" s="6" t="inlineStr">
        <is>
          <t>~290 km · ~3 hrs</t>
        </is>
      </c>
      <c r="H6" s="6" t="inlineStr">
        <is>
          <t>Drive ~10:00 (after car pickup)</t>
        </is>
      </c>
      <c r="I6" s="6" t="inlineStr">
        <is>
          <t>Land MUC T2 07:05. Collect rental car ~09:00. Drive ~3hrs to Austrian castle hotel. Saturday Vigil 19:00 at Stiftskirche Spital am Pyhrn (~30 min south) — covers Sunday obligation.</t>
        </is>
      </c>
      <c r="J6" s="6" t="n">
        <v>727</v>
      </c>
      <c r="K6" s="6" t="n"/>
    </row>
    <row r="7">
      <c r="A7" s="6" t="n">
        <v>2</v>
      </c>
      <c r="B7" s="6" t="inlineStr">
        <is>
          <t>Sun 12 Jul</t>
        </is>
      </c>
      <c r="C7" s="6" t="inlineStr">
        <is>
          <t>Austria 🇦🇹</t>
        </is>
      </c>
      <c r="D7" s="6" t="inlineStr">
        <is>
          <t>Burg Altpernstein (Altpernstein 1, 4563 Micheldorf) — day-trip options</t>
        </is>
      </c>
      <c r="E7" s="13" t="inlineStr">
        <is>
          <t>Burg Altpernstein</t>
        </is>
      </c>
      <c r="F7" s="6" t="inlineStr">
        <is>
          <t>Burg base · Salzburg + Hallstatt OR Hallstatt only OR full Salzkammergut</t>
        </is>
      </c>
      <c r="G7" s="6" t="inlineStr">
        <is>
          <t>Salzburg+Hallstatt loop ~5h drive · Hallstatt only ~3h drive</t>
        </is>
      </c>
      <c r="H7" s="6" t="inlineStr">
        <is>
          <t>09:00 Mass · day flexible</t>
        </is>
      </c>
      <c r="I7" s="6" t="inlineStr">
        <is>
          <t>NO Mass needed (Sat Vigil at Spital am Pyhrn covered Sun obligation). Three day-trip options from Burg Altpernstein:
OPTION A (sleep day): castle relax, jet-lag recovery, short walk in Pyhrn valley. ~7 hr day banked for Day 3 Prague drive.
OPTION B (Hallstatt only · RECOMMENDED): 09:00 leave · 10:30 Hallstatt arrival · Catholic Pfarrkirche + Bone House + Skywalk + lakeside · 16:00 leave · 17:30 back at castle. ~7 hr day, 3h driving.
OPTION C (full Salzkammergut): add Salzwelten salt mine + Schafbergbahn cog railway. 10-11 hr day, 4.5h driving. Ambitious for Day 2 jet-lag.
OPTION D (SOUND OF MUSIC + Hallstatt): 08:00 leave · 09:30 Salzburg arrival · Residenzplatz (Residenzpl. 4, 5020 Salzburg) — main baroque square + Cathedral + Residenzbrunnen fountain · Felsenreitschule (Hofstallgasse 1) — baroque cliff theatre, Sound of Music "Edelweiss" finale location · Mozart Birthplace (Getreidegasse 9) · Hohensalzburg Fortress funicular · 13:00 lunch Café Tomaselli or Stiftskeller St. Peter (oldest restaurant in Europe, est. 803) · 14:00 drive Salzburg → Hallstatt (1h 15m via B158 lakes route) · 15:15 Hallstatt sights · 17:00 leave · 18:30 back Burg. ~10 hr day, 5h driving. Two Austrian icons in one trip.
⛪ BACKUP if Sat Vigil missed: Sun 09:00 Spital am Pyhrn OR 10:00/10:30 Hallstatt Pfarrkirche Mariä Himmelfahrt.</t>
        </is>
      </c>
      <c r="J7" s="39" t="n"/>
      <c r="K7" s="39" t="n"/>
    </row>
    <row r="8" ht="54.75" customHeight="1" s="38">
      <c r="A8" s="6" t="n">
        <v>3</v>
      </c>
      <c r="B8" s="6" t="inlineStr">
        <is>
          <t>Mon 13 Jul</t>
        </is>
      </c>
      <c r="C8" s="6" t="inlineStr">
        <is>
          <t>Czechia 🇨🇿</t>
        </is>
      </c>
      <c r="D8" s="6" t="inlineStr">
        <is>
          <t>Prague</t>
        </is>
      </c>
      <c r="E8" s="13" t="inlineStr">
        <is>
          <t>Gold Art Apartment</t>
        </is>
      </c>
      <c r="F8" s="6" t="inlineStr">
        <is>
          <t>Burg Altpernstein → Prague</t>
        </is>
      </c>
      <c r="G8" s="6" t="inlineStr">
        <is>
          <t>~430 km · 4.5–5 hrs</t>
        </is>
      </c>
      <c r="H8" s="9" t="inlineStr">
        <is>
          <t>08:00</t>
        </is>
      </c>
      <c r="I8" s="6" t="inlineStr">
        <is>
          <t>Drive north to Prague. Arrive mid-afternoon — Charles Bridge at golden hour, Old Town Square, Czech beer hall. Check in to Gold Art Apartment. 🧺 LAUNDRY DROP: Prague Andy's Laundromat (Korunní 14, Vinohrady) — open 9am–8pm daily, ~€10–15 family load, cards OK, English-speaking. Drop on arrival, pick up before dinner.</t>
        </is>
      </c>
      <c r="J8" s="6" t="n">
        <v>626</v>
      </c>
      <c r="K8" s="6" t="n"/>
    </row>
    <row r="9" ht="54.75" customHeight="1" s="38">
      <c r="A9" s="6" t="n">
        <v>4</v>
      </c>
      <c r="B9" s="6" t="inlineStr">
        <is>
          <t>Tue 14 Jul</t>
        </is>
      </c>
      <c r="C9" s="6" t="inlineStr">
        <is>
          <t>Czechia 🇨🇿</t>
        </is>
      </c>
      <c r="D9" s="6" t="inlineStr">
        <is>
          <t>Prague</t>
        </is>
      </c>
      <c r="E9" s="13" t="inlineStr">
        <is>
          <t>Gold Art Apartment</t>
        </is>
      </c>
      <c r="F9" s="6" t="inlineStr">
        <is>
          <t>Prague (full day)</t>
        </is>
      </c>
      <c r="G9" s="6" t="inlineStr">
        <is>
          <t>—</t>
        </is>
      </c>
      <c r="H9" s="6" t="inlineStr">
        <is>
          <t>Full day</t>
        </is>
      </c>
      <c r="I9" s="6" t="inlineStr">
        <is>
          <t>Prague Castle &amp; St. Vitus Cathedral, Josefov Jewish Quarter, Wenceslas Square, Vltava river cruise.</t>
        </is>
      </c>
      <c r="J9" s="39" t="n"/>
      <c r="K9" s="39" t="n"/>
    </row>
    <row r="10" ht="54.75" customHeight="1" s="38">
      <c r="A10" s="6" t="n">
        <v>5</v>
      </c>
      <c r="B10" s="6" t="inlineStr">
        <is>
          <t>Wed 15 Jul</t>
        </is>
      </c>
      <c r="C10" s="6" t="inlineStr">
        <is>
          <t>Austria 🇦🇹</t>
        </is>
      </c>
      <c r="D10" s="6" t="inlineStr">
        <is>
          <t>Vienna</t>
        </is>
      </c>
      <c r="E10" s="16" t="inlineStr">
        <is>
          <t>The Levante Laudon</t>
        </is>
      </c>
      <c r="F10" s="6" t="inlineStr">
        <is>
          <t>Prague → Vienna</t>
        </is>
      </c>
      <c r="G10" s="6" t="inlineStr">
        <is>
          <t>~320 km · 3.5–4 hrs</t>
        </is>
      </c>
      <c r="H10" s="6" t="inlineStr">
        <is>
          <t>11:00</t>
        </is>
      </c>
      <c r="I10" s="6" t="inlineStr">
        <is>
          <t>Morning Prague Castle area. Drive south, arrive lunch. Schönbrunn Palace, Ringstrasse, Naschmarkt, Sachertorte at Café Sacher.</t>
        </is>
      </c>
      <c r="J10" s="6" t="n">
        <v>326</v>
      </c>
      <c r="K10" s="6" t="n"/>
    </row>
    <row r="11" ht="54.75" customHeight="1" s="38">
      <c r="A11" s="6" t="n">
        <v>6</v>
      </c>
      <c r="B11" s="6" t="inlineStr">
        <is>
          <t>Thu 16 Jul</t>
        </is>
      </c>
      <c r="C11" s="6" t="inlineStr">
        <is>
          <t>Hungary 🇭🇺</t>
        </is>
      </c>
      <c r="D11" s="6" t="inlineStr">
        <is>
          <t>Budapest</t>
        </is>
      </c>
      <c r="E11" s="13" t="inlineStr">
        <is>
          <t>City Home Budapest</t>
        </is>
      </c>
      <c r="F11" s="6" t="inlineStr">
        <is>
          <t>Vienna → Budapest</t>
        </is>
      </c>
      <c r="G11" s="6" t="inlineStr">
        <is>
          <t>~270 km · 2.5–3.5 hrs</t>
        </is>
      </c>
      <c r="H11" s="6" t="inlineStr">
        <is>
          <t>10:00</t>
        </is>
      </c>
      <c r="I11" s="6" t="inlineStr">
        <is>
          <t>Drive Vienna→Budapest. 🧺 LAUNDRY DROP on arrival ~14:00: walk 7 min from City Home to self-service laundry at Dohány u. 37 (cash only HUF/€, ~3,000 HUF / €7.50, open 9am–10pm). Drop, then sightsee while it washes (~3 hrs). Park at City Home underground garage (~€20/night). Walk to Castle Hill via Chain Bridge — funicular up to Fisherman's Bastion, Matthias Church, Buda Castle exterior. Pick up clean clothes ~17:30. Széchenyi Thermal Baths via M1 metro from Oktogon. Goulash dinner; kürtőskalács for the kids. Parliament view from Buda side at sunset.</t>
        </is>
      </c>
      <c r="J11" s="6" t="n">
        <v>282</v>
      </c>
      <c r="K11" s="6" t="n"/>
    </row>
    <row r="12" ht="54.75" customHeight="1" s="38">
      <c r="A12" s="6" t="n">
        <v>7</v>
      </c>
      <c r="B12" s="6" t="inlineStr">
        <is>
          <t>Fri 17 Jul</t>
        </is>
      </c>
      <c r="C12" s="6" t="inlineStr">
        <is>
          <t>Italy 🇮🇹 (via 🇸🇮)</t>
        </is>
      </c>
      <c r="D12" s="6" t="inlineStr">
        <is>
          <t>Venice / Mestre (mainland)</t>
        </is>
      </c>
      <c r="E12" s="13" t="inlineStr">
        <is>
          <t>Trilocale Venezia Mestre · 5 min Stazione</t>
        </is>
      </c>
      <c r="F12" s="6" t="inlineStr">
        <is>
          <t>Budapest → Bled stop → Mestre</t>
        </is>
      </c>
      <c r="G12" s="6" t="inlineStr">
        <is>
          <t>~530 km · 8–9 hrs</t>
        </is>
      </c>
      <c r="H12" s="9" t="inlineStr">
        <is>
          <t>07:30</t>
        </is>
      </c>
      <c r="I12" s="6" t="inlineStr">
        <is>
          <t>Bled, Slovenia 2.5hr stop — emerald glacial lake, castle, kremšnita cake. Continue to Mestre (mainland Venice). Park free at hotel (much better than €30/day Piazzale Roma garage). Quick freshen-up, then train Mestre → Venezia Santa Lucia (~10 min, ~€1.50, every 5–10 min) for evening on the islands.</t>
        </is>
      </c>
      <c r="J12" s="2" t="n">
        <v>821</v>
      </c>
      <c r="K12" s="2" t="n"/>
    </row>
    <row r="13" ht="54.75" customHeight="1" s="38">
      <c r="A13" s="6" t="n">
        <v>8</v>
      </c>
      <c r="B13" s="6" t="inlineStr">
        <is>
          <t>Sat 18 Jul</t>
        </is>
      </c>
      <c r="C13" s="6" t="inlineStr">
        <is>
          <t>Italy 🇮🇹</t>
        </is>
      </c>
      <c r="D13" s="6" t="inlineStr">
        <is>
          <t>Venice / Mestre (mainland)</t>
        </is>
      </c>
      <c r="E13" s="13" t="inlineStr">
        <is>
          <t>Trilocale Venezia Mestre (same hotel)</t>
        </is>
      </c>
      <c r="F13" s="6" t="inlineStr">
        <is>
          <t>Venice (full day)</t>
        </is>
      </c>
      <c r="G13" s="6" t="inlineStr">
        <is>
          <t>—</t>
        </is>
      </c>
      <c r="H13" s="6" t="inlineStr">
        <is>
          <t>Full day</t>
        </is>
      </c>
      <c r="I13" s="6" t="inlineStr">
        <is>
          <t>Venice full day on islands. Train Mestre → Santa Lucia. Piazza San Marco, Doge's Palace, Rialto, Burano. ⛪ 17:00 Saturday Vigil Mass at Basilica San Marco (covers Sunday).</t>
        </is>
      </c>
    </row>
    <row r="14" ht="54.75" customHeight="1" s="38">
      <c r="A14" s="6" t="n">
        <v>9</v>
      </c>
      <c r="B14" s="6" t="inlineStr">
        <is>
          <t>Sun 19 Jul</t>
        </is>
      </c>
      <c r="C14" s="6" t="inlineStr">
        <is>
          <t>Italy 🇮🇹</t>
        </is>
      </c>
      <c r="D14" s="6" t="inlineStr">
        <is>
          <t>Florence</t>
        </is>
      </c>
      <c r="E14" s="13" t="inlineStr">
        <is>
          <t>Garden Blue (San Gallo / Campo Grande)</t>
        </is>
      </c>
      <c r="F14" s="6" t="inlineStr">
        <is>
          <t>Venice → Florence</t>
        </is>
      </c>
      <c r="G14" s="6" t="inlineStr">
        <is>
          <t>~270 km · 3–3.5 hrs</t>
        </is>
      </c>
      <c r="H14" s="6" t="inlineStr">
        <is>
          <t>10:00</t>
        </is>
      </c>
      <c r="I14" s="6" t="inlineStr">
        <is>
          <t>Mestre → optional Padua stop (Basilica di Sant'Antonio sightseeing — NO Mass needed) → Florence. Garden Blue check-in, Ponte Vecchio, Piazzale Michelangelo sunset. ⛪ BACKUP if Sat Vigil missed: Padua sung Mass 10:00 OR Florence Santissima Annunziata 18:30 / Duomo 17:00 / Santa Croce 17:30.</t>
        </is>
      </c>
      <c r="J14" s="17" t="n">
        <v>353</v>
      </c>
      <c r="K14" s="2" t="n"/>
    </row>
    <row r="15" ht="129.75" customHeight="1" s="38">
      <c r="A15" s="6" t="n">
        <v>10</v>
      </c>
      <c r="B15" s="6" t="inlineStr">
        <is>
          <t>Mon 20 Jul</t>
        </is>
      </c>
      <c r="C15" s="6" t="inlineStr">
        <is>
          <t>Italy 🇮🇹 (via 🇺 Umbria)</t>
        </is>
      </c>
      <c r="D15" s="6" t="inlineStr">
        <is>
          <t>Rome (Aurelio · west of Vatican)</t>
        </is>
      </c>
      <c r="E15" s="13" t="inlineStr">
        <is>
          <t>Auri apartment (near Vatican Museums)</t>
        </is>
      </c>
      <c r="F15" s="6" t="inlineStr">
        <is>
          <t>Florence → Pisa → Montecchio → Perugia → Rome</t>
        </is>
      </c>
      <c r="G15" s="6" t="inlineStr">
        <is>
          <t>~570 km · 8+ hrs (incl stops)</t>
        </is>
      </c>
      <c r="H15" s="6" t="inlineStr">
        <is>
          <t>09:00 from Florence</t>
        </is>
      </c>
      <c r="I15" s="6" t="inlineStr">
        <is>
          <t>TRAVEL DAY: Florence→Rome via Tuscany+Umbria. Stops: Pisa (Tower photo, ~1hr), Castello di Montecchio Vesponi (~30min), Perugia (Palazzo dei Priori + Arco Etrusco, ~1hr). Arrive Rome ~19:30, check in DaBrieBra Vaticano (Aurelio · 17min walk Vatican). Evening: Cipro metro→Spagna→Trevi Fountain at night (lit, less crowded). ⚠️ Long day · drop Pisa OR Montecchio if kids fading.</t>
        </is>
      </c>
      <c r="J15" s="17" t="n">
        <v>1239</v>
      </c>
      <c r="K15" s="2" t="n"/>
    </row>
    <row r="16" ht="129.75" customHeight="1" s="38">
      <c r="A16" s="6" t="n">
        <v>11</v>
      </c>
      <c r="B16" s="6" t="inlineStr">
        <is>
          <t>Tue 21 Jul</t>
        </is>
      </c>
      <c r="C16" s="6" t="inlineStr">
        <is>
          <t>Italy 🇮🇹</t>
        </is>
      </c>
      <c r="D16" s="6" t="inlineStr">
        <is>
          <t>Rome (Aurelio · west of Vatican)</t>
        </is>
      </c>
      <c r="E16" s="13" t="inlineStr">
        <is>
          <t>Auri apartment (same)</t>
        </is>
      </c>
      <c r="F16" s="6" t="inlineStr">
        <is>
          <t>Rome → Villa Balke → Pompeii → Castello di Lettere → Rome</t>
        </is>
      </c>
      <c r="G16" s="6" t="inlineStr">
        <is>
          <t>~480 km round · 6+ hrs driving</t>
        </is>
      </c>
      <c r="H16" s="9" t="inlineStr">
        <is>
          <t>07:30 from Rome</t>
        </is>
      </c>
      <c r="I16" s="6" t="inlineStr">
        <is>
          <t>Pompeii + Naples coast day trip from Rome. 07:30 leave · 10:30 lunch at Villa Balke (Torre del Greco, 4.6★) · 12:30–15:00 Pompeii archaeological site (pre-book pompeiisites.org) · 15:30 Castello di Lettere quick stop (Vesuvius views) · ~16:30 drive back to Rome. Optional evening: Cipro→San Giovanni metro for Basilica of San Giovanni in Laterano (Cathedral of Rome, daily Mass 18:00). Skip San Giovanni if exhausted, see Day 12 morning.</t>
        </is>
      </c>
      <c r="K16" s="2" t="n"/>
    </row>
    <row r="17" ht="129.75" customHeight="1" s="38">
      <c r="A17" s="6" t="n">
        <v>12</v>
      </c>
      <c r="B17" s="6" t="inlineStr">
        <is>
          <t>Wed 22 Jul</t>
        </is>
      </c>
      <c r="C17" s="6" t="inlineStr">
        <is>
          <t>Italy 🇮🇹 / Vatican City</t>
        </is>
      </c>
      <c r="D17" s="6" t="inlineStr">
        <is>
          <t>Rome — Vatican walking day</t>
        </is>
      </c>
      <c r="E17" s="13" t="inlineStr">
        <is>
          <t>Auri apartment (same)</t>
        </is>
      </c>
      <c r="F17" s="6" t="inlineStr">
        <is>
          <t>Walking day (no driving)</t>
        </is>
      </c>
      <c r="G17" s="6" t="inlineStr">
        <is>
          <t>~10 km on foot</t>
        </is>
      </c>
      <c r="H17" s="6" t="inlineStr">
        <is>
          <t>07:00 leave hotel</t>
        </is>
      </c>
      <c r="I17" s="6" t="inlineStr">
        <is>
          <t>VATICAN DAY · the trip's biggest single day (~10km walking). 08:30 walk 17min to Vatican Museums entrance. 09:00 Vatican Museums (pre-booked museivaticani.va) · Gallery of Maps · Sistine Chapel. Use chapel-to-basilica shortcut into St. Peter's. Lunch in Borgo Pio (skip Via della Conciliazione tourist traps). Castel Sant'Angelo + Bridge of Angels. Walk to Piazza Navona for evening. Dinner around Piazza Navona, gelato Tre Scalini (truffle). Taxi back to hotel. Daily Mass at St. Peter's 17:00 (Italian) for today's Mass.</t>
        </is>
      </c>
      <c r="K17" s="2" t="n"/>
    </row>
    <row r="18" ht="54.75" customHeight="1" s="38">
      <c r="A18" s="6" t="n">
        <v>13</v>
      </c>
      <c r="B18" s="6" t="inlineStr">
        <is>
          <t>Thu 23 Jul</t>
        </is>
      </c>
      <c r="C18" s="6" t="inlineStr">
        <is>
          <t>Italy 🇮🇹</t>
        </is>
      </c>
      <c r="D18" s="6" t="inlineStr">
        <is>
          <t>Milan</t>
        </is>
      </c>
      <c r="E18" s="6" t="inlineStr">
        <is>
          <t>Rasika Ayya's place (friend stay) 💚</t>
        </is>
      </c>
      <c r="F18" s="6" t="inlineStr">
        <is>
          <t>Rome → Florence stop → Milan</t>
        </is>
      </c>
      <c r="G18" s="6" t="inlineStr">
        <is>
          <t>~580 km · 6.5–7.5 hrs</t>
        </is>
      </c>
      <c r="H18" s="9" t="inlineStr">
        <is>
          <t>07:30</t>
        </is>
      </c>
      <c r="I18" s="6" t="inlineStr">
        <is>
          <t>Drive north Rome→Milan via Florence stop. Arrive Milan late afternoon, dinner with Rasika Ayya &amp; family. Address TBC.</t>
        </is>
      </c>
      <c r="J18" s="2" t="n"/>
      <c r="K18" s="2" t="n"/>
    </row>
    <row r="19" ht="54.75" customHeight="1" s="38">
      <c r="A19" s="6" t="n">
        <v>14</v>
      </c>
      <c r="B19" s="6" t="inlineStr">
        <is>
          <t>Fri 24 Jul</t>
        </is>
      </c>
      <c r="C19" s="6" t="inlineStr">
        <is>
          <t>Switzerland 🇨🇭 (via 🇮🇹)</t>
        </is>
      </c>
      <c r="D19" s="6" t="inlineStr">
        <is>
          <t>Stalden (Valais)</t>
        </is>
      </c>
      <c r="E19" s="6" t="inlineStr">
        <is>
          <t>Postman 8 · Room 3 (Kirchweg 8, 3922 Stalden)</t>
        </is>
      </c>
      <c r="F19" s="6" t="inlineStr">
        <is>
          <t>Milan (half-day) → Stalden</t>
        </is>
      </c>
      <c r="G19" s="6" t="inlineStr">
        <is>
          <t>~290 km · 3.5–4 hrs (incl. Simplon)</t>
        </is>
      </c>
      <c r="H19" s="6" t="inlineStr">
        <is>
          <t>08:30 Duomo · 14:30 leave Milan</t>
        </is>
      </c>
      <c r="I19" s="6" t="inlineStr">
        <is>
          <t>MORNING MILAN: Duomo + rooftop terrace (pre-book), Galleria Vittorio Emanuele II, Piazza della Scala exterior, Castello Sforzesco courtyards, lunch in Brera. AFTERNOON: drive Milan → Stalden via Lugano + Simplon Pass. Arrive Stalden ~18:00. Stalden is on the Zermatt train line — walk to Stalden-Saas station for tomorrow's Gornergrat.</t>
        </is>
      </c>
      <c r="J19" s="17" t="n">
        <v>374</v>
      </c>
      <c r="K19" s="2" t="n"/>
    </row>
    <row r="20" ht="54.75" customHeight="1" s="38">
      <c r="A20" s="6" t="n">
        <v>15</v>
      </c>
      <c r="B20" s="6" t="inlineStr">
        <is>
          <t>Sat 25 Jul</t>
        </is>
      </c>
      <c r="C20" s="6" t="inlineStr">
        <is>
          <t>Switzerland 🇨🇭</t>
        </is>
      </c>
      <c r="D20" s="6" t="inlineStr">
        <is>
          <t>Moléson-sur-Gruyères (Fribourg)</t>
        </is>
      </c>
      <c r="E20" s="6" t="inlineStr">
        <is>
          <t>La Pierre à Catillon (Route de Moléson 228, 1663)</t>
        </is>
      </c>
      <c r="F20" s="6" t="inlineStr">
        <is>
          <t>Stalden ↔ Zermatt (Gornergrat) → Moléson</t>
        </is>
      </c>
      <c r="G20" s="6" t="inlineStr">
        <is>
          <t>Train 30min·Stalden→Zermatt · ~190 km drive</t>
        </is>
      </c>
      <c r="H20" s="9" t="inlineStr">
        <is>
          <t>~07:00 Gornergrat · 13:00 leave Stalden</t>
        </is>
      </c>
      <c r="I20" s="6" t="inlineStr">
        <is>
          <t>GORNERGRAT MORNING: train Stalden → Zermatt → Gornergrat (3,089m). Back Stalden ~12:00. Drive Stalden → Moléson via A9 (~190 km, 2.5–3 hrs). ⛪ Saturday Vigil at Église Saint-Théodule Gruyères (5 km) or Saint-Pierre-aux-Liens Bulle (8 km) — confirm 18:00 time.</t>
        </is>
      </c>
      <c r="J20" s="17" t="n">
        <v>816</v>
      </c>
      <c r="K20" s="2" t="n"/>
    </row>
    <row r="21" ht="54.75" customHeight="1" s="38">
      <c r="A21" s="6" t="n">
        <v>16</v>
      </c>
      <c r="B21" s="6" t="inlineStr">
        <is>
          <t>Sun 26 Jul</t>
        </is>
      </c>
      <c r="C21" s="6" t="inlineStr">
        <is>
          <t>Switzerland 🇨🇭</t>
        </is>
      </c>
      <c r="D21" s="6" t="inlineStr">
        <is>
          <t>Moléson-sur-Gruyères (Fribourg)</t>
        </is>
      </c>
      <c r="E21" s="6" t="inlineStr">
        <is>
          <t>La Pierre à Catillon (same hotel, 2nd night)</t>
        </is>
      </c>
      <c r="F21" s="6" t="inlineStr">
        <is>
          <t>Moléson → Geneva day trip → Moléson</t>
        </is>
      </c>
      <c r="G21" s="6" t="inlineStr">
        <is>
          <t>~80 km / 1h 15min each way</t>
        </is>
      </c>
      <c r="H21" s="6" t="inlineStr">
        <is>
          <t>08:30 leave for 10:15 Mass</t>
        </is>
      </c>
      <c r="I21" s="6" t="inlineStr">
        <is>
          <t>Geneva day-trip from Moléson — SIGHTSEEING ONLY (Sat Vigil yesterday covered Sun obligation). Relaxed start ~10:00. Old Town, Cathédrale Saint-Pierre, Jet d'Eau, Mouettes ferry, Bains des Pâquis, Reformation Wall. Brief Notre-Dame visit optional. Return Moléson ~19:00. ⛪ BACKUP if Sat Vigil missed: 10:15 Sun Mass at Basilique Notre-Dame de Genève (would need leaving Moléson 08:30).</t>
        </is>
      </c>
      <c r="K21" s="2" t="n"/>
    </row>
    <row r="22" ht="54.75" customHeight="1" s="38">
      <c r="A22" s="6" t="n">
        <v>17</v>
      </c>
      <c r="B22" s="6" t="inlineStr">
        <is>
          <t>Mon 27 Jul</t>
        </is>
      </c>
      <c r="C22" s="6" t="inlineStr">
        <is>
          <t>Germany 🇩🇪 (via 🇨🇭)</t>
        </is>
      </c>
      <c r="D22" s="6" t="inlineStr">
        <is>
          <t>Ottobeuren (Bavaria)</t>
        </is>
      </c>
      <c r="E22" s="6" t="inlineStr">
        <is>
          <t>Hotel Hirsch (Marktplatz 12)</t>
        </is>
      </c>
      <c r="F22" s="6" t="inlineStr">
        <is>
          <t>Moléson → Bern stop → Ottobeuren via Zürich bypass</t>
        </is>
      </c>
      <c r="G22" s="6" t="inlineStr">
        <is>
          <t>~480 km · 5h drive + 3h Bern stop</t>
        </is>
      </c>
      <c r="H22" s="6" t="inlineStr">
        <is>
          <t>08:00 leave Moléson</t>
        </is>
      </c>
      <c r="I22" s="6" t="inlineStr">
        <is>
          <t>Drive Moléson → Bern (~1h). 3-hr Bern stop: Zytglogge, Kramgasse, BärenPark, lunch. Continue Bern → cross Swiss-German border at Bargen → Ottobeuren via A81/A7. Bavarian dinner at Hotel Hirsch. Visit Ottobeuren Abbey if time.</t>
        </is>
      </c>
      <c r="J22" s="17" t="n">
        <v>323</v>
      </c>
      <c r="K22" s="2" t="n"/>
    </row>
    <row r="23" ht="54.75" customHeight="1" s="38">
      <c r="A23" s="6" t="n">
        <v>18</v>
      </c>
      <c r="B23" s="6" t="inlineStr">
        <is>
          <t>Tue 28 Jul</t>
        </is>
      </c>
      <c r="C23" s="6" t="inlineStr">
        <is>
          <t>France 🇫🇷 (via 🇩🇪/🇳🇱)</t>
        </is>
      </c>
      <c r="D23" s="6" t="inlineStr">
        <is>
          <t>Lourdes</t>
        </is>
      </c>
      <c r="E23" s="6" t="inlineStr">
        <is>
          <t>Hôtel Atrium Mondial (19 Avenue du Paradis, 65100 Lourdes) ✓ Booked</t>
        </is>
      </c>
      <c r="F23" s="6" t="inlineStr">
        <is>
          <t>Ottobeuren → MUC drop car → KLM via AMS → TLS → Lourdes</t>
        </is>
      </c>
      <c r="G23" s="6" t="inlineStr">
        <is>
          <t>145 km drive + 4h25m KLM + 150 km drive</t>
        </is>
      </c>
      <c r="H23" s="9" t="inlineStr">
        <is>
          <t>09:00 from Ottobeuren</t>
        </is>
      </c>
      <c r="I23" s="6" t="inlineStr">
        <is>
          <t>Drive Ottobeuren → MUC airport, drop German rental car. KLM 11:50 MUC → AMS → TLS 16:15 (Schiphol layover). Pick up TLS rental. Drive 2h south to Lourdes, arrive 19:00. Family dinner. 21:00 🕯️ Torch Procession at Sanctuary of Our Lady of Lourdes (Crowned Statue → Esplanade → Rosary Basilica).</t>
        </is>
      </c>
      <c r="J23" s="17">
        <f>261</f>
        <v/>
      </c>
      <c r="K23" s="2" t="n"/>
    </row>
    <row r="24" ht="54.75" customHeight="1" s="38">
      <c r="A24" s="6" t="n">
        <v>19</v>
      </c>
      <c r="B24" s="6" t="inlineStr">
        <is>
          <t>Wed 29 Jul</t>
        </is>
      </c>
      <c r="C24" s="6" t="inlineStr">
        <is>
          <t>France 🇫🇷 (Paris overnight)</t>
        </is>
      </c>
      <c r="D24" s="6" t="inlineStr">
        <is>
          <t>Paris</t>
        </is>
      </c>
      <c r="E24" s="6" t="inlineStr">
        <is>
          <t>Hotel TBC — accommodation being arranged</t>
        </is>
      </c>
      <c r="F24" s="6" t="inlineStr">
        <is>
          <t>Lourdes → TLS drop → Tram T2 → TGV → Paris Montparnasse</t>
        </is>
      </c>
      <c r="G24" s="6" t="inlineStr">
        <is>
          <t>150 km drive + Tram 35min + TGV 4h35m</t>
        </is>
      </c>
      <c r="H24" s="9" t="inlineStr">
        <is>
          <t>06:15 wake / 07:30 leave Lourdes</t>
        </is>
      </c>
      <c r="I24" s="6" t="inlineStr">
        <is>
          <t>🚆 TRAIN DAY TO PARIS (~9h). Drive 1h30 Lourdes→TLS airport (drop Avis ~09:00). Tram T2 → Gare Toulouse Matabiau (~09:15–09:50). 10:20 TGV 8508 (Coach 12 · Seats 224-229) → Paris Montparnasse 14:55 (4h35m · Booking Z272DK). Taxi/Métro to hotel TBC (~30min). Afternoon: Eiffel Tower &amp; Champ de Mars walk (~17:00 golden hour) + Notre-Dame + Seine riverside stroll. Dinner in Paris. Hotel TBC — accommodation being arranged. 📎 Tickets folder: https://drive.google.com/drive/u/0/folders/1CuB4i6hZnuqjQUtDhz3dwmXm0OmPSS3g</t>
        </is>
      </c>
      <c r="J24" s="2" t="n"/>
      <c r="K24" s="2" t="n"/>
    </row>
    <row r="25" ht="54.75" customHeight="1" s="38">
      <c r="A25" s="7" t="n">
        <v>20</v>
      </c>
      <c r="B25" s="7" t="inlineStr">
        <is>
          <t>Thu 30 Jul</t>
        </is>
      </c>
      <c r="C25" s="7" t="inlineStr">
        <is>
          <t>France 🇫🇷 → Netherlands 🇳🇱</t>
        </is>
      </c>
      <c r="D25" s="7" t="inlineStr">
        <is>
          <t>Amsterdam</t>
        </is>
      </c>
      <c r="E25" s="7" t="inlineStr">
        <is>
          <t>Cousin's home 💚 (no booking)</t>
        </is>
      </c>
      <c r="F25" s="7" t="inlineStr">
        <is>
          <t>Paris (full day) → Eurostar 9387 → Amsterdam Schiphol (evening)</t>
        </is>
      </c>
      <c r="G25" s="7" t="inlineStr">
        <is>
          <t>Paris walking + Métro · Eurostar 3h 11m (20:22 → 23:33)</t>
        </is>
      </c>
      <c r="H25" s="7" t="inlineStr">
        <is>
          <t>Slow morning / 19:30 leave for Gare du Nord</t>
        </is>
      </c>
      <c r="I25" s="7" t="inlineStr">
        <is>
          <t>🥐 FULL PARIS DAY. Slow morning · Sacré-Cœur &amp; Montmartre (dome view) · Louvre courtyard + Tuileries Garden → Place de la Concorde · Champs-Élysées walk up to Arc de Triomphe (climb optional €13pp) · café break · back to hotel by ~18:00 to collect bags. 🚄 Eurostar 9387 from Paris Gare du Nord 20:22 (Coach 13 · Seats 72-76) → Amsterdam Schiphol 23:33 · cousin pickup · late check-in at cousin's home. 📎 Tickets folder: https://drive.google.com/drive/u/0/folders/1ok8hTVTeOR1W4Ze3zHlGVyOAVEZQjL32</t>
        </is>
      </c>
      <c r="J25" s="2" t="n"/>
      <c r="K25" s="2" t="n"/>
    </row>
    <row r="26" ht="54.75" customHeight="1" s="38">
      <c r="A26" s="6" t="n">
        <v>21</v>
      </c>
      <c r="B26" s="6" t="inlineStr">
        <is>
          <t>Fri 31 Jul</t>
        </is>
      </c>
      <c r="C26" s="6" t="inlineStr">
        <is>
          <t>Netherlands 🇳🇱</t>
        </is>
      </c>
      <c r="D26" s="6" t="inlineStr">
        <is>
          <t>Amsterdam</t>
        </is>
      </c>
      <c r="E26" s="6" t="inlineStr">
        <is>
          <t>Cousin's home 💚</t>
        </is>
      </c>
      <c r="F26" s="6" t="inlineStr">
        <is>
          <t>Amsterdam local · no driving</t>
        </is>
      </c>
      <c r="G26" s="6" t="inlineStr">
        <is>
          <t>— foot + tram + bike</t>
        </is>
      </c>
      <c r="H26" s="6" t="inlineStr">
        <is>
          <t>Slow morning</t>
        </is>
      </c>
      <c r="I26" s="6" t="inlineStr">
        <is>
          <t>AMSTERDAM DAY 1. Anne Frank House (pre-book essential · ~€16pp). Rijksmuseum exterior + Museumplein. Canal boat tour option (~€15pp). Jordaan neighbourhood lunch. Albert Cuyp Market (Poffertjes!). Cousin's for dinner. Canals at dusk.</t>
        </is>
      </c>
      <c r="J26" s="2" t="n"/>
      <c r="K26" s="2" t="n"/>
    </row>
    <row r="27" ht="54.75" customHeight="1" s="38">
      <c r="A27" s="6" t="n">
        <v>22</v>
      </c>
      <c r="B27" s="6" t="inlineStr">
        <is>
          <t>Sat 1 Aug</t>
        </is>
      </c>
      <c r="C27" s="6" t="inlineStr">
        <is>
          <t>Netherlands 🇳🇱 (rest)</t>
        </is>
      </c>
      <c r="D27" s="6" t="inlineStr">
        <is>
          <t>Amsterdam</t>
        </is>
      </c>
      <c r="E27" s="6" t="inlineStr">
        <is>
          <t>Cousin's home 💚</t>
        </is>
      </c>
      <c r="F27" s="6" t="inlineStr">
        <is>
          <t>Amsterdam local · no driving</t>
        </is>
      </c>
      <c r="G27" s="6" t="inlineStr">
        <is>
          <t>— foot + tram + Sint-Nicolaaskerk</t>
        </is>
      </c>
      <c r="H27" s="6" t="inlineStr">
        <is>
          <t>Slow morning</t>
        </is>
      </c>
      <c r="I27" s="6" t="inlineStr">
        <is>
          <t>REST DAY at cousin's after long Day 21 drive. Slow morning. Anne Frank House (pre-book essential), Rijksmuseum, Vondelpark for kids, Jordaan canal walk, Albert Cuypmarkt for stroopwafels. ⛪ Sat 17:00 Vigil at Sint-Nicolaaskerk (Prins Hendrikkade 73, opposite Centraal Station · 5 min from many places in centre · English Mass option). Dinner with cousin, last full evening together.</t>
        </is>
      </c>
      <c r="J27" s="2" t="n"/>
      <c r="K27" s="2" t="n"/>
    </row>
    <row r="28" ht="54.75" customHeight="1" s="38">
      <c r="A28" s="7" t="n">
        <v>23</v>
      </c>
      <c r="B28" s="7" t="inlineStr">
        <is>
          <t>Sun 2 Aug</t>
        </is>
      </c>
      <c r="C28" s="7" t="inlineStr">
        <is>
          <t>Denmark 🇩🇰 (via 🇳🇱)</t>
        </is>
      </c>
      <c r="D28" s="7" t="inlineStr">
        <is>
          <t>Copenhagen</t>
        </is>
      </c>
      <c r="E28" s="7" t="inlineStr">
        <is>
          <t>Danhostel Copenhagen City (H. C. Andersens Boulevard 50, 1553 Copenhagen) ✓ Booked</t>
        </is>
      </c>
      <c r="F28" s="7" t="inlineStr">
        <is>
          <t>AMS → fly KLM AMS→CPH evening</t>
        </is>
      </c>
      <c r="G28" s="7" t="inlineStr">
        <is>
          <t>✈ ~1h 25min</t>
        </is>
      </c>
      <c r="H28" s="7" t="inlineStr">
        <is>
          <t>10:00 Sun Mass / 17:00 to airport</t>
        </is>
      </c>
      <c r="I28" s="7" t="inlineStr">
        <is>
          <t>Easy Sunday at cousin's. NO Mass needed (Sat Vigil at Bruges yesterday covered it). Slow morning. Late brunch with cousin. Return cousin's car. KLM 19:00 AMS→CPH 20:30. ⛪ BACKUP if Sat Vigil missed: 10:30 Sun Mass at Sint-Nicolaaskerk Amsterdam (Prins Hendrikkade 73, opposite Centraal · English Mass option).</t>
        </is>
      </c>
      <c r="J28" s="2" t="n"/>
      <c r="K28" s="2" t="n"/>
    </row>
    <row r="29" ht="54.75" customHeight="1" s="38">
      <c r="A29" s="8" t="n">
        <v>24</v>
      </c>
      <c r="B29" s="8" t="inlineStr">
        <is>
          <t>Mon 3 Aug</t>
        </is>
      </c>
      <c r="C29" s="8" t="inlineStr">
        <is>
          <t>Sweden 🇸🇪 (via 🇩🇰)</t>
        </is>
      </c>
      <c r="D29" s="8" t="inlineStr">
        <is>
          <t>Gothenburg</t>
        </is>
      </c>
      <c r="E29" s="8" t="inlineStr">
        <is>
          <t>Sister's place 💙 (or nearby hotel)</t>
        </is>
      </c>
      <c r="F29" s="8" t="inlineStr">
        <is>
          <t>CPH → Gothenburg X2000 (Öresund Bridge)</t>
        </is>
      </c>
      <c r="G29" s="8" t="inlineStr">
        <is>
          <t>🚆 ~3h 40min</t>
        </is>
      </c>
      <c r="H29" s="8" t="inlineStr">
        <is>
          <t>13:00 X2000 from CPH Central</t>
        </is>
      </c>
      <c r="I29" s="8" t="inlineStr">
        <is>
          <t>Morning Copenhagen — Nyhavn (colourful harbour photos), Tivoli Gardens (kids LOVE it · €25/€11 · gentle rides + thrills), optional Little Mermaid. 13:00 X2000 train CPH Central → Gothenburg Central via Öresund Bridge (8 km crossing!) arriving 16:40. Sister pickup. Family dinner.</t>
        </is>
      </c>
      <c r="J29" s="2" t="n"/>
      <c r="K29" s="2" t="n"/>
    </row>
    <row r="30" ht="54.75" customHeight="1" s="38">
      <c r="A30" s="8" t="n">
        <v>25</v>
      </c>
      <c r="B30" s="8" t="inlineStr">
        <is>
          <t>Tue 4 Aug</t>
        </is>
      </c>
      <c r="C30" s="8" t="inlineStr">
        <is>
          <t>Sweden 🇸🇪</t>
        </is>
      </c>
      <c r="D30" s="8" t="inlineStr">
        <is>
          <t>Gothenburg</t>
        </is>
      </c>
      <c r="E30" s="8" t="inlineStr">
        <is>
          <t>Sister's place 💙</t>
        </is>
      </c>
      <c r="F30" s="8" t="inlineStr">
        <is>
          <t>Gothenburg full day with sister</t>
        </is>
      </c>
      <c r="G30" s="8" t="inlineStr">
        <is>
          <t>— local</t>
        </is>
      </c>
      <c r="H30" s="8" t="inlineStr">
        <is>
          <t>Slow morning</t>
        </is>
      </c>
      <c r="I30" s="8" t="inlineStr">
        <is>
          <t>Full sister day. Liseberg amusement park (Europe's best · ~5h · pre-book Pass Plus for kids). Haga district 17th-century wooden houses · giant cinnamon bun at Café Husaren. Optional archipelago boat from Saltholmen. Family dinner. Long Swedish summer evening light til 22:00.</t>
        </is>
      </c>
      <c r="J30" s="2" t="n"/>
      <c r="K30" s="2" t="n"/>
    </row>
    <row r="31" ht="54.75" customHeight="1" s="38">
      <c r="A31" s="6" t="inlineStr">
        <is>
          <t>—</t>
        </is>
      </c>
      <c r="B31" s="6" t="inlineStr">
        <is>
          <t>Wed 5 Aug</t>
        </is>
      </c>
      <c r="C31" s="6" t="inlineStr">
        <is>
          <t>Germany 🇩🇪</t>
        </is>
      </c>
      <c r="D31" s="6" t="inlineStr">
        <is>
          <t>Hilton Munich Airport (TBD) / Premier Inn Flughafen Ost (budget)</t>
        </is>
      </c>
      <c r="E31" s="6" t="inlineStr">
        <is>
          <t>Novotel MUC Airport (TBD)</t>
        </is>
      </c>
      <c r="F31" s="6" t="inlineStr">
        <is>
          <t>Gothenburg → Munich (fly)</t>
        </is>
      </c>
      <c r="G31" s="6" t="inlineStr">
        <is>
          <t>✈ ~2 hrs</t>
        </is>
      </c>
      <c r="H31" s="9" t="inlineStr">
        <is>
          <t>06:30 GOT</t>
        </is>
      </c>
      <c r="I31" s="6" t="inlineStr">
        <is>
          <t>Wake 05:00. Taxi 05:20. GOT→MUC, land 08:30. Novotel MUC overnight ~€60–80 day-use OR full overnight. Optional Munich city via S-Bahn. Airport by 21:00.</t>
        </is>
      </c>
      <c r="J31" s="2" t="n"/>
      <c r="K31" s="2" t="n"/>
    </row>
    <row r="32" ht="54.75" customHeight="1" s="38">
      <c r="A32" s="6" t="inlineStr">
        <is>
          <t>—</t>
        </is>
      </c>
      <c r="B32" s="6" t="inlineStr">
        <is>
          <t>Thu 6 Aug</t>
        </is>
      </c>
      <c r="C32" s="6" t="inlineStr">
        <is>
          <t>In transit 🇩🇪→🇨🇳</t>
        </is>
      </c>
      <c r="D32" s="6" t="inlineStr">
        <is>
          <t>Munich → Beijing</t>
        </is>
      </c>
      <c r="E32" s="6" t="inlineStr">
        <is>
          <t>—</t>
        </is>
      </c>
      <c r="F32" s="6" t="inlineStr">
        <is>
          <t>Munich → Beijing (CA962)</t>
        </is>
      </c>
      <c r="G32" s="6" t="inlineStr">
        <is>
          <t>✈ 9h 45m</t>
        </is>
      </c>
      <c r="H32" s="6" t="inlineStr">
        <is>
          <t>13:00 depart</t>
        </is>
      </c>
      <c r="I32" s="6" t="inlineStr">
        <is>
          <t>Check-in MUC T2 by 10:30, board 11:00. Land PEK 04:45 Fri 7 Aug. Rest ~3hrs. Great Wall at Mutianyu. Back T3 by 21:00.</t>
        </is>
      </c>
      <c r="J32" s="2" t="n"/>
      <c r="K32" s="2" t="n"/>
    </row>
    <row r="33" ht="54.75" customHeight="1" s="38">
      <c r="A33" s="6" t="inlineStr">
        <is>
          <t>—</t>
        </is>
      </c>
      <c r="B33" s="6" t="inlineStr">
        <is>
          <t>Sat 8 Aug</t>
        </is>
      </c>
      <c r="C33" s="6" t="inlineStr">
        <is>
          <t>New Zealand 🇳🇿</t>
        </is>
      </c>
      <c r="D33" s="6" t="inlineStr">
        <is>
          <t>Auckland 🏠</t>
        </is>
      </c>
      <c r="E33" s="6" t="inlineStr">
        <is>
          <t>—</t>
        </is>
      </c>
      <c r="F33" s="6" t="inlineStr">
        <is>
          <t>Beijing → Auckland (CA783)</t>
        </is>
      </c>
      <c r="G33" s="6" t="inlineStr">
        <is>
          <t>✈ 12h 25m</t>
        </is>
      </c>
      <c r="H33" s="6" t="inlineStr">
        <is>
          <t>00:05 depart PEK</t>
        </is>
      </c>
      <c r="I33" s="6" t="inlineStr">
        <is>
          <t>CA783 PEK 00:05 → AKL 16:30. 25 nights, 23 destinations, two Beijing stopovers, sister visit — welcome home.</t>
        </is>
      </c>
      <c r="J33" s="2" t="n"/>
      <c r="K33" s="2" t="n"/>
    </row>
    <row r="34" ht="15.75" customHeight="1" s="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.75" customHeight="1" s="38">
      <c r="A35" s="2" t="n"/>
      <c r="B35" s="2" t="n"/>
      <c r="C35" s="2" t="n"/>
      <c r="D35" s="2" t="n"/>
      <c r="E35" s="2" t="n"/>
      <c r="F35" s="2" t="n"/>
      <c r="G35" s="2" t="n"/>
      <c r="H35" s="2" t="n"/>
      <c r="I35" s="2" t="inlineStr">
        <is>
          <t>Muc-&gt;Lourdes</t>
        </is>
      </c>
      <c r="J35" s="17" t="n">
        <v>2150.93</v>
      </c>
      <c r="K35" s="2" t="n"/>
    </row>
    <row r="36" ht="15.75" customHeight="1" s="38">
      <c r="A36" s="2" t="n"/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Lourdes-&gt;Ams</t>
        </is>
      </c>
      <c r="J36" s="17" t="n">
        <v>1210.23</v>
      </c>
      <c r="K36" s="2" t="n"/>
    </row>
    <row r="37" ht="15.75" customHeight="1" s="38">
      <c r="A37" s="2" t="n"/>
      <c r="B37" s="2" t="n"/>
      <c r="C37" s="2" t="n"/>
      <c r="D37" s="2" t="n"/>
      <c r="E37" s="2" t="n"/>
      <c r="F37" s="2" t="n"/>
      <c r="G37" s="2" t="n"/>
      <c r="H37" s="2" t="n"/>
      <c r="I37" s="17" t="inlineStr">
        <is>
          <t>Lourds car rental</t>
        </is>
      </c>
      <c r="J37" s="17" t="n">
        <v>207.7</v>
      </c>
      <c r="K37" s="2" t="n"/>
    </row>
    <row r="38" ht="15.75" customHeight="1" s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.75" customHeight="1" s="38">
      <c r="A39" s="2" t="n"/>
      <c r="B39" s="2" t="n"/>
      <c r="C39" s="2" t="n"/>
      <c r="D39" s="2" t="n"/>
      <c r="E39" s="2" t="n"/>
      <c r="F39" s="2" t="n"/>
      <c r="G39" s="2" t="n"/>
      <c r="H39" s="2" t="n"/>
      <c r="I39" s="17" t="inlineStr">
        <is>
          <t>Ams-&gt;Cop</t>
        </is>
      </c>
      <c r="J39" s="2" t="n"/>
      <c r="K39" s="2" t="n"/>
    </row>
    <row r="40" ht="15.75" customHeight="1" s="38">
      <c r="A40" s="2" t="n"/>
      <c r="B40" s="2" t="n"/>
      <c r="C40" s="2" t="n"/>
      <c r="D40" s="2" t="n"/>
      <c r="E40" s="2" t="n"/>
      <c r="F40" s="2" t="n"/>
      <c r="G40" s="2" t="n"/>
      <c r="H40" s="2" t="n"/>
      <c r="I40" s="2" t="inlineStr">
        <is>
          <t>Cop-&gt;Got</t>
        </is>
      </c>
      <c r="J40" s="2" t="n"/>
      <c r="K40" s="2" t="n"/>
    </row>
    <row r="41" ht="15.75" customHeight="1" s="38">
      <c r="A41" s="2" t="n"/>
      <c r="B41" s="2" t="n"/>
      <c r="C41" s="2" t="n"/>
      <c r="D41" s="2" t="n"/>
      <c r="E41" s="2" t="n"/>
      <c r="F41" s="2" t="n"/>
      <c r="G41" s="2" t="n"/>
      <c r="H41" s="2" t="n"/>
      <c r="I41" s="2" t="inlineStr">
        <is>
          <t>MainFlights</t>
        </is>
      </c>
      <c r="J41" s="18" t="n">
        <v>11560</v>
      </c>
      <c r="K41" s="2" t="n"/>
    </row>
    <row r="42" ht="15.75" customHeight="1" s="38">
      <c r="A42" s="2" t="n"/>
      <c r="B42" s="2" t="n"/>
      <c r="C42" s="2" t="n"/>
      <c r="D42" s="2" t="n"/>
      <c r="E42" s="2" t="n"/>
      <c r="F42" s="2" t="n"/>
      <c r="G42" s="2" t="n"/>
      <c r="H42" s="2" t="n"/>
      <c r="I42" s="2" t="inlineStr">
        <is>
          <t>Meals</t>
        </is>
      </c>
      <c r="J42" s="2">
        <f>150*28</f>
        <v/>
      </c>
      <c r="K42" s="2" t="n"/>
    </row>
    <row r="43" ht="15.75" customHeight="1" s="38">
      <c r="A43" s="2" t="n"/>
      <c r="B43" s="2" t="n"/>
      <c r="C43" s="2" t="n"/>
      <c r="D43" s="2" t="n"/>
      <c r="E43" s="2" t="n"/>
      <c r="F43" s="2" t="n"/>
      <c r="G43" s="2" t="n"/>
      <c r="H43" s="2" t="n"/>
      <c r="I43" s="2" t="inlineStr">
        <is>
          <t>Fuel</t>
        </is>
      </c>
      <c r="J43" s="2" t="n">
        <v>3000</v>
      </c>
      <c r="K43" s="2" t="n"/>
    </row>
    <row r="44" ht="15.75" customHeight="1" s="38">
      <c r="A44" s="2" t="n"/>
      <c r="B44" s="2" t="n"/>
      <c r="C44" s="2" t="n"/>
      <c r="D44" s="2" t="n"/>
      <c r="E44" s="2" t="n"/>
      <c r="F44" s="2" t="n"/>
      <c r="G44" s="2" t="n"/>
      <c r="H44" s="2" t="n"/>
      <c r="I44" s="19" t="inlineStr">
        <is>
          <t>Total</t>
        </is>
      </c>
      <c r="J44" s="19">
        <f>SUM(J4:J43)</f>
        <v/>
      </c>
      <c r="K44" s="2" t="n"/>
    </row>
    <row r="45" ht="15.75" customHeight="1" s="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.75" customHeight="1" s="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.75" customHeight="1" s="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.75" customHeight="1" s="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.75" customHeight="1" s="38">
      <c r="A49" s="2" t="n"/>
      <c r="B49" s="2" t="n"/>
      <c r="C49" s="2" t="n"/>
      <c r="D49" s="2" t="n"/>
      <c r="E49" s="2" t="n"/>
      <c r="F49" s="2" t="n"/>
      <c r="G49" s="2" t="n"/>
      <c r="H49" s="2" t="n"/>
      <c r="I49" s="2" t="inlineStr">
        <is>
          <t>Rental saving</t>
        </is>
      </c>
      <c r="J49" s="2" t="n">
        <v>5000</v>
      </c>
      <c r="K49" s="2" t="n"/>
    </row>
    <row r="50" ht="15.75" customHeight="1" s="38">
      <c r="A50" s="2" t="n"/>
      <c r="B50" s="2" t="n"/>
      <c r="C50" s="2" t="n"/>
      <c r="D50" s="2" t="n"/>
      <c r="E50" s="2" t="n"/>
      <c r="F50" s="2" t="n"/>
      <c r="G50" s="2" t="n"/>
      <c r="H50" s="2" t="n"/>
      <c r="I50" s="2" t="inlineStr">
        <is>
          <t>Cash back</t>
        </is>
      </c>
      <c r="J50" s="2" t="n">
        <v>11560</v>
      </c>
      <c r="K50" s="2" t="n"/>
    </row>
    <row r="51" ht="15.75" customHeight="1" s="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.75" customHeight="1" s="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.75" customHeight="1" s="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.75" customHeight="1" s="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.75" customHeight="1" s="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.75" customHeight="1" s="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.75" customHeight="1" s="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.75" customHeight="1" s="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.75" customHeight="1" s="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.75" customHeight="1" s="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.75" customHeight="1" s="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.75" customHeight="1" s="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.75" customHeight="1" s="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.75" customHeight="1" s="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.75" customHeight="1" s="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.75" customHeight="1" s="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.75" customHeight="1" s="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.75" customHeight="1" s="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.75" customHeight="1" s="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.75" customHeight="1" s="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.75" customHeight="1" s="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.75" customHeight="1" s="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.75" customHeight="1" s="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.75" customHeight="1" s="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.75" customHeight="1" s="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.75" customHeight="1" s="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.75" customHeight="1" s="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.75" customHeight="1" s="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.75" customHeight="1" s="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.75" customHeight="1" s="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.75" customHeight="1" s="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.75" customHeight="1" s="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.75" customHeight="1" s="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.75" customHeight="1" s="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.75" customHeight="1" s="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.75" customHeight="1" s="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.75" customHeight="1" s="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.75" customHeight="1" s="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.75" customHeight="1" s="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.75" customHeight="1" s="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.75" customHeight="1" s="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.75" customHeight="1" s="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.75" customHeight="1" s="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.75" customHeight="1" s="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.75" customHeight="1" s="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.75" customHeight="1" s="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.75" customHeight="1" s="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.75" customHeight="1" s="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.75" customHeight="1" s="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.75" customHeight="1" s="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.75" customHeight="1" s="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.75" customHeight="1" s="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.75" customHeight="1" s="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.75" customHeight="1" s="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.75" customHeight="1" s="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.75" customHeight="1" s="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.75" customHeight="1" s="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.75" customHeight="1" s="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.75" customHeight="1" s="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.75" customHeight="1" s="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.75" customHeight="1" s="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.75" customHeight="1" s="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.75" customHeight="1" s="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.75" customHeight="1" s="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.75" customHeight="1" s="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.75" customHeight="1" s="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.75" customHeight="1" s="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.75" customHeight="1" s="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.75" customHeight="1" s="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.75" customHeight="1" s="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.75" customHeight="1" s="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.75" customHeight="1" s="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.75" customHeight="1" s="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.75" customHeight="1" s="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.75" customHeight="1" s="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.75" customHeight="1" s="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.75" customHeight="1" s="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.75" customHeight="1" s="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.75" customHeight="1" s="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.75" customHeight="1" s="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.75" customHeight="1" s="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.75" customHeight="1" s="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.75" customHeight="1" s="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.75" customHeight="1" s="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.75" customHeight="1" s="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.75" customHeight="1" s="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.75" customHeight="1" s="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.75" customHeight="1" s="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.75" customHeight="1" s="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.75" customHeight="1" s="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.75" customHeight="1" s="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.75" customHeight="1" s="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.75" customHeight="1" s="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.75" customHeight="1" s="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.75" customHeight="1" s="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.75" customHeight="1" s="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.75" customHeight="1" s="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.75" customHeight="1" s="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.75" customHeight="1" s="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 ht="15.75" customHeight="1" s="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 ht="15.75" customHeight="1" s="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 ht="15.75" customHeight="1" s="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 ht="15.75" customHeight="1" s="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 ht="15.75" customHeight="1" s="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 ht="15.75" customHeight="1" s="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 ht="15.75" customHeight="1" s="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 ht="15.75" customHeight="1" s="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 ht="15.75" customHeight="1" s="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 ht="15.75" customHeight="1" s="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 ht="15.75" customHeight="1" s="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 ht="15.75" customHeight="1" s="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 ht="15.75" customHeight="1" s="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 ht="15.75" customHeight="1" s="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 ht="15.75" customHeight="1" s="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 ht="15.75" customHeight="1" s="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 ht="15.75" customHeight="1" s="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 ht="15.75" customHeight="1" s="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 ht="15.75" customHeight="1" s="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 ht="15.75" customHeight="1" s="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 ht="15.75" customHeight="1" s="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 ht="15.75" customHeight="1" s="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 ht="15.75" customHeight="1" s="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 ht="15.75" customHeight="1" s="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 ht="15.75" customHeight="1" s="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 ht="15.75" customHeight="1" s="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 ht="15.75" customHeight="1" s="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 ht="15.75" customHeight="1" s="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 ht="15.75" customHeight="1" s="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 ht="15.75" customHeight="1" s="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 ht="15.75" customHeight="1" s="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 ht="15.75" customHeight="1" s="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 ht="15.75" customHeight="1" s="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 ht="15.75" customHeight="1" s="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 ht="15.75" customHeight="1" s="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 ht="15.75" customHeight="1" s="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 ht="15.75" customHeight="1" s="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 ht="15.75" customHeight="1" s="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 ht="15.75" customHeight="1" s="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 ht="15.75" customHeight="1" s="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 ht="15.75" customHeight="1" s="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 ht="15.75" customHeight="1" s="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 ht="15.75" customHeight="1" s="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 ht="15.75" customHeight="1" s="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 ht="15.75" customHeight="1" s="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 ht="15.75" customHeight="1" s="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 ht="15.75" customHeight="1" s="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 ht="15.75" customHeight="1" s="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 ht="15.75" customHeight="1" s="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 ht="15.75" customHeight="1" s="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 ht="15.75" customHeight="1" s="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 ht="15.75" customHeight="1" s="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 ht="15.75" customHeight="1" s="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 ht="15.75" customHeight="1" s="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 ht="15.75" customHeight="1" s="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 ht="15.75" customHeight="1" s="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 ht="15.75" customHeight="1" s="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 ht="15.75" customHeight="1" s="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 ht="15.75" customHeight="1" s="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 ht="15.75" customHeight="1" s="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 ht="15.75" customHeight="1" s="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 ht="15.75" customHeight="1" s="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 ht="15.75" customHeight="1" s="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 ht="15.75" customHeight="1" s="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 ht="15.75" customHeight="1" s="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 ht="15.75" customHeight="1" s="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 ht="15.75" customHeight="1" s="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 ht="15.75" customHeight="1" s="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 ht="15.75" customHeight="1" s="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 ht="15.75" customHeight="1" s="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 ht="15.75" customHeight="1" s="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 ht="15.75" customHeight="1" s="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 ht="15.75" customHeight="1" s="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 ht="15.75" customHeight="1" s="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 ht="15.75" customHeight="1" s="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 ht="15.75" customHeight="1" s="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 ht="15.75" customHeight="1" s="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 ht="15.75" customHeight="1" s="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 ht="15.75" customHeight="1" s="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 ht="15.75" customHeight="1" s="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 ht="15.75" customHeight="1" s="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 ht="15.75" customHeight="1" s="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 ht="15.75" customHeight="1" s="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 ht="15.75" customHeight="1" s="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 ht="15.75" customHeight="1" s="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 ht="15.75" customHeight="1" s="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 ht="15.75" customHeight="1" s="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 ht="15.75" customHeight="1" s="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 ht="15.75" customHeight="1" s="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 ht="15.75" customHeight="1" s="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 ht="15.75" customHeight="1" s="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 ht="15.75" customHeight="1" s="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 ht="15.75" customHeight="1" s="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 ht="15.75" customHeight="1" s="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 ht="15.75" customHeight="1" s="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 ht="15.75" customHeight="1" s="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 ht="15.75" customHeight="1" s="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 ht="15.75" customHeight="1" s="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 ht="15.75" customHeight="1" s="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 ht="15.75" customHeight="1" s="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 ht="15.75" customHeight="1" s="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 ht="15.75" customHeight="1" s="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 ht="15.75" customHeight="1" s="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 ht="15.75" customHeight="1" s="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 ht="15.75" customHeight="1" s="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 ht="15.75" customHeight="1" s="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 ht="15.75" customHeight="1" s="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 ht="15.75" customHeight="1" s="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 ht="15.75" customHeight="1" s="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 ht="15.75" customHeight="1" s="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 ht="15.75" customHeight="1" s="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 ht="15.75" customHeight="1" s="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 ht="15.75" customHeight="1" s="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 ht="15.75" customHeight="1" s="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 ht="15.75" customHeight="1" s="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 ht="15.75" customHeight="1" s="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 ht="15.75" customHeight="1" s="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 ht="15.75" customHeight="1" s="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 ht="15.75" customHeight="1" s="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 ht="15.75" customHeight="1" s="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 ht="15.75" customHeight="1" s="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 ht="15.75" customHeight="1" s="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 ht="15.75" customHeight="1" s="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 ht="15.75" customHeight="1" s="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 ht="15.75" customHeight="1" s="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 ht="15.75" customHeight="1" s="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 ht="15.75" customHeight="1" s="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 ht="15.75" customHeight="1" s="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 ht="15.75" customHeight="1" s="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 ht="15.75" customHeight="1" s="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 ht="15.75" customHeight="1" s="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 ht="15.75" customHeight="1" s="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 ht="15.75" customHeight="1" s="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 ht="15.75" customHeight="1" s="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 ht="15.75" customHeight="1" s="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 ht="15.75" customHeight="1" s="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 ht="15.75" customHeight="1" s="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 ht="15.75" customHeight="1" s="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 ht="15.75" customHeight="1" s="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 ht="15.75" customHeight="1" s="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 ht="15.75" customHeight="1" s="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 ht="15.75" customHeight="1" s="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 ht="15.75" customHeight="1" s="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 ht="15.75" customHeight="1" s="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 ht="15.75" customHeight="1" s="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 ht="15.75" customHeight="1" s="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 ht="15.75" customHeight="1" s="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 ht="15.75" customHeight="1" s="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 ht="15.75" customHeight="1" s="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 ht="15.75" customHeight="1" s="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 ht="15.75" customHeight="1" s="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 ht="15.75" customHeight="1" s="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 ht="15.75" customHeight="1" s="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 ht="15.75" customHeight="1" s="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 ht="15.75" customHeight="1" s="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 ht="15.75" customHeight="1" s="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 ht="15.75" customHeight="1" s="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 ht="15.75" customHeight="1" s="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 ht="15.75" customHeight="1" s="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 ht="15.75" customHeight="1" s="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 ht="15.75" customHeight="1" s="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 ht="15.75" customHeight="1" s="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 ht="15.75" customHeight="1" s="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 ht="15.75" customHeight="1" s="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 ht="15.75" customHeight="1" s="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 ht="15.75" customHeight="1" s="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 ht="15.75" customHeight="1" s="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 ht="15.75" customHeight="1" s="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 ht="15.75" customHeight="1" s="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 ht="15.75" customHeight="1" s="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 ht="15.75" customHeight="1" s="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 ht="15.75" customHeight="1" s="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 ht="15.75" customHeight="1" s="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 ht="15.75" customHeight="1" s="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 ht="15.75" customHeight="1" s="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 ht="15.75" customHeight="1" s="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 ht="15.75" customHeight="1" s="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 ht="15.75" customHeight="1" s="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 ht="15.75" customHeight="1" s="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 ht="15.75" customHeight="1" s="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 ht="15.75" customHeight="1" s="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 ht="15.75" customHeight="1" s="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 ht="15.75" customHeight="1" s="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 ht="15.75" customHeight="1" s="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 ht="15.75" customHeight="1" s="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 ht="15.75" customHeight="1" s="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 ht="15.75" customHeight="1" s="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 ht="15.75" customHeight="1" s="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 ht="15.75" customHeight="1" s="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 ht="15.75" customHeight="1" s="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 ht="15.75" customHeight="1" s="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 ht="15.75" customHeight="1" s="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 ht="15.75" customHeight="1" s="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 ht="15.75" customHeight="1" s="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 ht="15.75" customHeight="1" s="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 ht="15.75" customHeight="1" s="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 ht="15.75" customHeight="1" s="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 ht="15.75" customHeight="1" s="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 ht="15.75" customHeight="1" s="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 ht="15.75" customHeight="1" s="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 ht="15.75" customHeight="1" s="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 ht="15.75" customHeight="1" s="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 ht="15.75" customHeight="1" s="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 ht="15.75" customHeight="1" s="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 ht="15.75" customHeight="1" s="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 ht="15.75" customHeight="1" s="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 ht="15.75" customHeight="1" s="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 ht="15.75" customHeight="1" s="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 ht="15.75" customHeight="1" s="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 ht="15.75" customHeight="1" s="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 ht="15.75" customHeight="1" s="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 ht="15.75" customHeight="1" s="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 ht="15.75" customHeight="1" s="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 ht="15.75" customHeight="1" s="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 ht="15.75" customHeight="1" s="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 ht="15.75" customHeight="1" s="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 ht="15.75" customHeight="1" s="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 ht="15.75" customHeight="1" s="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 ht="15.75" customHeight="1" s="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 ht="15.75" customHeight="1" s="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 ht="15.75" customHeight="1" s="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 ht="15.75" customHeight="1" s="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 ht="15.75" customHeight="1" s="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 ht="15.75" customHeight="1" s="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 ht="15.75" customHeight="1" s="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 ht="15.75" customHeight="1" s="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 ht="15.75" customHeight="1" s="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 ht="15.75" customHeight="1" s="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 ht="15.75" customHeight="1" s="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 ht="15.75" customHeight="1" s="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 ht="15.75" customHeight="1" s="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 ht="15.75" customHeight="1" s="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 ht="15.75" customHeight="1" s="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 ht="15.75" customHeight="1" s="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 ht="15.75" customHeight="1" s="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 ht="15.75" customHeight="1" s="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 ht="15.75" customHeight="1" s="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 ht="15.75" customHeight="1" s="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 ht="15.75" customHeight="1" s="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 ht="15.75" customHeight="1" s="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 ht="15.75" customHeight="1" s="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 ht="15.75" customHeight="1" s="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 ht="15.75" customHeight="1" s="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 ht="15.75" customHeight="1" s="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 ht="15.75" customHeight="1" s="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 ht="15.75" customHeight="1" s="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 ht="15.75" customHeight="1" s="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 ht="15.75" customHeight="1" s="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 ht="15.75" customHeight="1" s="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 ht="15.75" customHeight="1" s="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 ht="15.75" customHeight="1" s="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 ht="15.75" customHeight="1" s="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 ht="15.75" customHeight="1" s="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 ht="15.75" customHeight="1" s="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 ht="15.75" customHeight="1" s="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 ht="15.75" customHeight="1" s="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 ht="15.75" customHeight="1" s="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 ht="15.75" customHeight="1" s="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 ht="15.75" customHeight="1" s="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 ht="15.75" customHeight="1" s="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 ht="15.75" customHeight="1" s="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 ht="15.75" customHeight="1" s="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 ht="15.75" customHeight="1" s="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 ht="15.75" customHeight="1" s="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 ht="15.75" customHeight="1" s="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 ht="15.75" customHeight="1" s="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 ht="15.75" customHeight="1" s="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 ht="15.75" customHeight="1" s="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 ht="15.75" customHeight="1" s="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 ht="15.75" customHeight="1" s="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 ht="15.75" customHeight="1" s="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 ht="15.75" customHeight="1" s="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 ht="15.75" customHeight="1" s="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 ht="15.75" customHeight="1" s="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 ht="15.75" customHeight="1" s="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 ht="15.75" customHeight="1" s="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 ht="15.75" customHeight="1" s="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 ht="15.75" customHeight="1" s="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 ht="15.75" customHeight="1" s="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 ht="15.75" customHeight="1" s="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 ht="15.75" customHeight="1" s="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 ht="15.75" customHeight="1" s="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 ht="15.75" customHeight="1" s="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 ht="15.75" customHeight="1" s="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 ht="15.75" customHeight="1" s="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 ht="15.75" customHeight="1" s="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 ht="15.75" customHeight="1" s="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 ht="15.75" customHeight="1" s="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 ht="15.75" customHeight="1" s="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 ht="15.75" customHeight="1" s="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 ht="15.75" customHeight="1" s="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 ht="15.75" customHeight="1" s="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 ht="15.75" customHeight="1" s="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 ht="15.75" customHeight="1" s="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 ht="15.75" customHeight="1" s="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 ht="15.75" customHeight="1" s="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 ht="15.75" customHeight="1" s="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 ht="15.75" customHeight="1" s="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 ht="15.75" customHeight="1" s="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 ht="15.75" customHeight="1" s="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 ht="15.75" customHeight="1" s="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 ht="15.75" customHeight="1" s="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 ht="15.75" customHeight="1" s="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 ht="15.75" customHeight="1" s="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 ht="15.75" customHeight="1" s="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 ht="15.75" customHeight="1" s="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 ht="15.75" customHeight="1" s="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 ht="15.75" customHeight="1" s="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 ht="15.75" customHeight="1" s="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 ht="15.75" customHeight="1" s="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 ht="15.75" customHeight="1" s="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 ht="15.75" customHeight="1" s="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 ht="15.75" customHeight="1" s="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 ht="15.75" customHeight="1" s="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 ht="15.75" customHeight="1" s="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 ht="15.75" customHeight="1" s="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 ht="15.75" customHeight="1" s="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 ht="15.75" customHeight="1" s="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 ht="15.75" customHeight="1" s="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 ht="15.75" customHeight="1" s="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 ht="15.75" customHeight="1" s="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 ht="15.75" customHeight="1" s="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 ht="15.75" customHeight="1" s="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 ht="15.75" customHeight="1" s="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 ht="15.75" customHeight="1" s="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 ht="15.75" customHeight="1" s="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 ht="15.75" customHeight="1" s="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 ht="15.75" customHeight="1" s="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 ht="15.75" customHeight="1" s="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 ht="15.75" customHeight="1" s="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 ht="15.75" customHeight="1" s="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 ht="15.75" customHeight="1" s="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 ht="15.75" customHeight="1" s="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 ht="15.75" customHeight="1" s="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 ht="15.75" customHeight="1" s="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 ht="15.75" customHeight="1" s="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 ht="15.75" customHeight="1" s="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 ht="15.75" customHeight="1" s="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 ht="15.75" customHeight="1" s="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 ht="15.75" customHeight="1" s="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 ht="15.75" customHeight="1" s="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 ht="15.75" customHeight="1" s="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 ht="15.75" customHeight="1" s="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 ht="15.75" customHeight="1" s="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 ht="15.75" customHeight="1" s="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 ht="15.75" customHeight="1" s="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 ht="15.75" customHeight="1" s="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 ht="15.75" customHeight="1" s="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 ht="15.75" customHeight="1" s="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 ht="15.75" customHeight="1" s="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 ht="15.75" customHeight="1" s="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 ht="15.75" customHeight="1" s="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 ht="15.75" customHeight="1" s="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 ht="15.75" customHeight="1" s="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 ht="15.75" customHeight="1" s="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 ht="15.75" customHeight="1" s="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 ht="15.75" customHeight="1" s="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 ht="15.75" customHeight="1" s="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 ht="15.75" customHeight="1" s="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 ht="15.75" customHeight="1" s="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 ht="15.75" customHeight="1" s="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 ht="15.75" customHeight="1" s="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 ht="15.75" customHeight="1" s="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 ht="15.75" customHeight="1" s="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 ht="15.75" customHeight="1" s="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 ht="15.75" customHeight="1" s="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 ht="15.75" customHeight="1" s="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 ht="15.75" customHeight="1" s="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 ht="15.75" customHeight="1" s="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 ht="15.75" customHeight="1" s="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 ht="15.75" customHeight="1" s="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 ht="15.75" customHeight="1" s="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 ht="15.75" customHeight="1" s="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 ht="15.75" customHeight="1" s="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 ht="15.75" customHeight="1" s="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 ht="15.75" customHeight="1" s="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 ht="15.75" customHeight="1" s="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 ht="15.75" customHeight="1" s="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 ht="15.75" customHeight="1" s="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 ht="15.75" customHeight="1" s="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 ht="15.75" customHeight="1" s="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 ht="15.75" customHeight="1" s="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 ht="15.75" customHeight="1" s="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 ht="15.75" customHeight="1" s="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 ht="15.75" customHeight="1" s="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 ht="15.75" customHeight="1" s="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 ht="15.75" customHeight="1" s="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 ht="15.75" customHeight="1" s="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 ht="15.75" customHeight="1" s="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 ht="15.75" customHeight="1" s="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 ht="15.75" customHeight="1" s="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 ht="15.75" customHeight="1" s="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 ht="15.75" customHeight="1" s="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 ht="15.75" customHeight="1" s="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 ht="15.75" customHeight="1" s="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 ht="15.75" customHeight="1" s="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 ht="15.75" customHeight="1" s="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 ht="15.75" customHeight="1" s="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 ht="15.75" customHeight="1" s="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 ht="15.75" customHeight="1" s="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 ht="15.75" customHeight="1" s="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 ht="15.75" customHeight="1" s="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 ht="15.75" customHeight="1" s="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 ht="15.75" customHeight="1" s="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 ht="15.75" customHeight="1" s="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 ht="15.75" customHeight="1" s="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 ht="15.75" customHeight="1" s="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 ht="15.75" customHeight="1" s="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 ht="15.75" customHeight="1" s="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 ht="15.75" customHeight="1" s="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 ht="15.75" customHeight="1" s="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 ht="15.75" customHeight="1" s="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 ht="15.75" customHeight="1" s="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 ht="15.75" customHeight="1" s="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 ht="15.75" customHeight="1" s="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 ht="15.75" customHeight="1" s="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 ht="15.75" customHeight="1" s="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 ht="15.75" customHeight="1" s="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 ht="15.75" customHeight="1" s="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 ht="15.75" customHeight="1" s="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 ht="15.75" customHeight="1" s="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 ht="15.75" customHeight="1" s="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 ht="15.75" customHeight="1" s="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 ht="15.75" customHeight="1" s="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 ht="15.75" customHeight="1" s="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 ht="15.75" customHeight="1" s="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 ht="15.75" customHeight="1" s="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 ht="15.75" customHeight="1" s="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 ht="15.75" customHeight="1" s="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 ht="15.75" customHeight="1" s="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 ht="15.75" customHeight="1" s="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 ht="15.75" customHeight="1" s="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 ht="15.75" customHeight="1" s="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 ht="15.75" customHeight="1" s="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 ht="15.75" customHeight="1" s="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 ht="15.75" customHeight="1" s="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 ht="15.75" customHeight="1" s="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 ht="15.75" customHeight="1" s="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 ht="15.75" customHeight="1" s="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 ht="15.75" customHeight="1" s="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 ht="15.75" customHeight="1" s="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 ht="15.75" customHeight="1" s="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 ht="15.75" customHeight="1" s="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 ht="15.75" customHeight="1" s="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 ht="15.75" customHeight="1" s="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 ht="15.75" customHeight="1" s="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 ht="15.75" customHeight="1" s="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 ht="15.75" customHeight="1" s="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 ht="15.75" customHeight="1" s="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 ht="15.75" customHeight="1" s="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 ht="15.75" customHeight="1" s="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 ht="15.75" customHeight="1" s="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 ht="15.75" customHeight="1" s="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 ht="15.75" customHeight="1" s="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 ht="15.75" customHeight="1" s="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 ht="15.75" customHeight="1" s="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 ht="15.75" customHeight="1" s="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 ht="15.75" customHeight="1" s="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 ht="15.75" customHeight="1" s="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 ht="15.75" customHeight="1" s="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 ht="15.75" customHeight="1" s="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 ht="15.75" customHeight="1" s="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 ht="15.75" customHeight="1" s="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 ht="15.75" customHeight="1" s="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 ht="15.75" customHeight="1" s="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 ht="15.75" customHeight="1" s="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 ht="15.75" customHeight="1" s="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 ht="15.75" customHeight="1" s="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 ht="15.75" customHeight="1" s="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 ht="15.75" customHeight="1" s="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 ht="15.75" customHeight="1" s="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 ht="15.75" customHeight="1" s="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 ht="15.75" customHeight="1" s="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 ht="15.75" customHeight="1" s="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 ht="15.75" customHeight="1" s="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 ht="15.75" customHeight="1" s="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 ht="15.75" customHeight="1" s="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 ht="15.75" customHeight="1" s="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 ht="15.75" customHeight="1" s="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 ht="15.75" customHeight="1" s="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 ht="15.75" customHeight="1" s="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 ht="15.75" customHeight="1" s="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 ht="15.75" customHeight="1" s="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 ht="15.75" customHeight="1" s="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 ht="15.75" customHeight="1" s="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 ht="15.75" customHeight="1" s="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 ht="15.75" customHeight="1" s="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 ht="15.75" customHeight="1" s="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 ht="15.75" customHeight="1" s="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 ht="15.75" customHeight="1" s="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 ht="15.75" customHeight="1" s="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 ht="15.75" customHeight="1" s="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 ht="15.75" customHeight="1" s="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 ht="15.75" customHeight="1" s="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 ht="15.75" customHeight="1" s="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 ht="15.75" customHeight="1" s="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 ht="15.75" customHeight="1" s="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 ht="15.75" customHeight="1" s="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 ht="15.75" customHeight="1" s="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 ht="15.75" customHeight="1" s="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 ht="15.75" customHeight="1" s="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 ht="15.75" customHeight="1" s="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 ht="15.75" customHeight="1" s="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 ht="15.75" customHeight="1" s="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 ht="15.75" customHeight="1" s="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 ht="15.75" customHeight="1" s="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 ht="15.75" customHeight="1" s="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 ht="15.75" customHeight="1" s="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 ht="15.75" customHeight="1" s="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 ht="15.75" customHeight="1" s="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 ht="15.75" customHeight="1" s="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 ht="15.75" customHeight="1" s="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 ht="15.75" customHeight="1" s="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 ht="15.75" customHeight="1" s="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 ht="15.75" customHeight="1" s="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 ht="15.75" customHeight="1" s="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 ht="15.75" customHeight="1" s="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 ht="15.75" customHeight="1" s="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 ht="15.75" customHeight="1" s="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 ht="15.75" customHeight="1" s="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 ht="15.75" customHeight="1" s="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 ht="15.75" customHeight="1" s="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 ht="15.75" customHeight="1" s="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 ht="15.75" customHeight="1" s="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 ht="15.75" customHeight="1" s="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 ht="15.75" customHeight="1" s="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 ht="15.75" customHeight="1" s="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 ht="15.75" customHeight="1" s="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 ht="15.75" customHeight="1" s="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 ht="15.75" customHeight="1" s="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 ht="15.75" customHeight="1" s="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 ht="15.75" customHeight="1" s="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 ht="15.75" customHeight="1" s="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 ht="15.75" customHeight="1" s="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 ht="15.75" customHeight="1" s="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 ht="15.75" customHeight="1" s="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 ht="15.75" customHeight="1" s="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 ht="15.75" customHeight="1" s="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 ht="15.75" customHeight="1" s="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 ht="15.75" customHeight="1" s="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 ht="15.75" customHeight="1" s="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 ht="15.75" customHeight="1" s="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 ht="15.75" customHeight="1" s="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 ht="15.75" customHeight="1" s="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 ht="15.75" customHeight="1" s="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 ht="15.75" customHeight="1" s="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 ht="15.75" customHeight="1" s="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 ht="15.75" customHeight="1" s="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 ht="15.75" customHeight="1" s="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 ht="15.75" customHeight="1" s="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 ht="15.75" customHeight="1" s="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 ht="15.75" customHeight="1" s="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 ht="15.75" customHeight="1" s="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 ht="15.75" customHeight="1" s="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 ht="15.75" customHeight="1" s="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 ht="15.75" customHeight="1" s="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 ht="15.75" customHeight="1" s="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 ht="15.75" customHeight="1" s="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 ht="15.75" customHeight="1" s="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 ht="15.75" customHeight="1" s="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 ht="15.75" customHeight="1" s="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 ht="15.75" customHeight="1" s="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 ht="15.75" customHeight="1" s="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 ht="15.75" customHeight="1" s="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 ht="15.75" customHeight="1" s="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 ht="15.75" customHeight="1" s="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 ht="15.75" customHeight="1" s="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 ht="15.75" customHeight="1" s="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 ht="15.75" customHeight="1" s="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 ht="15.75" customHeight="1" s="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 ht="15.75" customHeight="1" s="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 ht="15.75" customHeight="1" s="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 ht="15.75" customHeight="1" s="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 ht="15.75" customHeight="1" s="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 ht="15.75" customHeight="1" s="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 ht="15.75" customHeight="1" s="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 ht="15.75" customHeight="1" s="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 ht="15.75" customHeight="1" s="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 ht="15.75" customHeight="1" s="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 ht="15.75" customHeight="1" s="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 ht="15.75" customHeight="1" s="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 ht="15.75" customHeight="1" s="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 ht="15.75" customHeight="1" s="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 ht="15.75" customHeight="1" s="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 ht="15.75" customHeight="1" s="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 ht="15.75" customHeight="1" s="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 ht="15.75" customHeight="1" s="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 ht="15.75" customHeight="1" s="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 ht="15.75" customHeight="1" s="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 ht="15.75" customHeight="1" s="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 ht="15.75" customHeight="1" s="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 ht="15.75" customHeight="1" s="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 ht="15.75" customHeight="1" s="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 ht="15.75" customHeight="1" s="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 ht="15.75" customHeight="1" s="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 ht="15.75" customHeight="1" s="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 ht="15.75" customHeight="1" s="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 ht="15.75" customHeight="1" s="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 ht="15.75" customHeight="1" s="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 ht="15.75" customHeight="1" s="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 ht="15.75" customHeight="1" s="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 ht="15.75" customHeight="1" s="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 ht="15.75" customHeight="1" s="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 ht="15.75" customHeight="1" s="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 ht="15.75" customHeight="1" s="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 ht="15.75" customHeight="1" s="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 ht="15.75" customHeight="1" s="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 ht="15.75" customHeight="1" s="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 ht="15.75" customHeight="1" s="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 ht="15.75" customHeight="1" s="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 ht="15.75" customHeight="1" s="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 ht="15.75" customHeight="1" s="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 ht="15.75" customHeight="1" s="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 ht="15.75" customHeight="1" s="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 ht="15.75" customHeight="1" s="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 ht="15.75" customHeight="1" s="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 ht="15.75" customHeight="1" s="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 ht="15.75" customHeight="1" s="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 ht="15.75" customHeight="1" s="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 ht="15.75" customHeight="1" s="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 ht="15.75" customHeight="1" s="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 ht="15.75" customHeight="1" s="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 ht="15.75" customHeight="1" s="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 ht="15.75" customHeight="1" s="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 ht="15.75" customHeight="1" s="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 ht="15.75" customHeight="1" s="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 ht="15.75" customHeight="1" s="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 ht="15.75" customHeight="1" s="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 ht="15.75" customHeight="1" s="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 ht="15.75" customHeight="1" s="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 ht="15.75" customHeight="1" s="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 ht="15.75" customHeight="1" s="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 ht="15.75" customHeight="1" s="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 ht="15.75" customHeight="1" s="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 ht="15.75" customHeight="1" s="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 ht="15.75" customHeight="1" s="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 ht="15.75" customHeight="1" s="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 ht="15.75" customHeight="1" s="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 ht="15.75" customHeight="1" s="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 ht="15.75" customHeight="1" s="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 ht="15.75" customHeight="1" s="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 ht="15.75" customHeight="1" s="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 ht="15.75" customHeight="1" s="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 ht="15.75" customHeight="1" s="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 ht="15.75" customHeight="1" s="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 ht="15.75" customHeight="1" s="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 ht="15.75" customHeight="1" s="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 ht="15.75" customHeight="1" s="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 ht="15.75" customHeight="1" s="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 ht="15.75" customHeight="1" s="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 ht="15.75" customHeight="1" s="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 ht="15.75" customHeight="1" s="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 ht="15.75" customHeight="1" s="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 ht="15.75" customHeight="1" s="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 ht="15.75" customHeight="1" s="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 ht="15.75" customHeight="1" s="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 ht="15.75" customHeight="1" s="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 ht="15.75" customHeight="1" s="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 ht="15.75" customHeight="1" s="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 ht="15.75" customHeight="1" s="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 ht="15.75" customHeight="1" s="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 ht="15.75" customHeight="1" s="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 ht="15.75" customHeight="1" s="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 ht="15.75" customHeight="1" s="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 ht="15.75" customHeight="1" s="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 ht="15.75" customHeight="1" s="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 ht="15.75" customHeight="1" s="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 ht="15.75" customHeight="1" s="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 ht="15.75" customHeight="1" s="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 ht="15.75" customHeight="1" s="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 ht="15.75" customHeight="1" s="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 ht="15.75" customHeight="1" s="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 ht="15.75" customHeight="1" s="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 ht="15.75" customHeight="1" s="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 ht="15.75" customHeight="1" s="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 ht="15.75" customHeight="1" s="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 ht="15.75" customHeight="1" s="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 ht="15.75" customHeight="1" s="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 ht="15.75" customHeight="1" s="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 ht="15.75" customHeight="1" s="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 ht="15.75" customHeight="1" s="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 ht="15.75" customHeight="1" s="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 ht="15.75" customHeight="1" s="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 ht="15.75" customHeight="1" s="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 ht="15.75" customHeight="1" s="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 ht="15.75" customHeight="1" s="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 ht="15.75" customHeight="1" s="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 ht="15.75" customHeight="1" s="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 ht="15.75" customHeight="1" s="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 ht="15.75" customHeight="1" s="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 ht="15.75" customHeight="1" s="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 ht="15.75" customHeight="1" s="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 ht="15.75" customHeight="1" s="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 ht="15.75" customHeight="1" s="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 ht="15.75" customHeight="1" s="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 ht="15.75" customHeight="1" s="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 ht="15.75" customHeight="1" s="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 ht="15.75" customHeight="1" s="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 ht="15.75" customHeight="1" s="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 ht="15.75" customHeight="1" s="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 ht="15.75" customHeight="1" s="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 ht="15.75" customHeight="1" s="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 ht="15.75" customHeight="1" s="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 ht="15.75" customHeight="1" s="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 ht="15.75" customHeight="1" s="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 ht="15.75" customHeight="1" s="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 ht="15.75" customHeight="1" s="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 ht="15.75" customHeight="1" s="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 ht="15.75" customHeight="1" s="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 ht="15.75" customHeight="1" s="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 ht="15.75" customHeight="1" s="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 ht="15.75" customHeight="1" s="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 ht="15.75" customHeight="1" s="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 ht="15.75" customHeight="1" s="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 ht="15.75" customHeight="1" s="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 ht="15.75" customHeight="1" s="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 ht="15.75" customHeight="1" s="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 ht="15.75" customHeight="1" s="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 ht="15.75" customHeight="1" s="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 ht="15.75" customHeight="1" s="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 ht="15.75" customHeight="1" s="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 ht="15.75" customHeight="1" s="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 ht="15.75" customHeight="1" s="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 ht="15.75" customHeight="1" s="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 ht="15.75" customHeight="1" s="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 ht="15.75" customHeight="1" s="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 ht="15.75" customHeight="1" s="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 ht="15.75" customHeight="1" s="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 ht="15.75" customHeight="1" s="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 ht="15.75" customHeight="1" s="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 ht="15.75" customHeight="1" s="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 ht="15.75" customHeight="1" s="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 ht="15.75" customHeight="1" s="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 ht="15.75" customHeight="1" s="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 ht="15.75" customHeight="1" s="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 ht="15.75" customHeight="1" s="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 ht="15.75" customHeight="1" s="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 ht="15.75" customHeight="1" s="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 ht="15.75" customHeight="1" s="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 ht="15.75" customHeight="1" s="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 ht="15.75" customHeight="1" s="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 ht="15.75" customHeight="1" s="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 ht="15.75" customHeight="1" s="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 ht="15.75" customHeight="1" s="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 ht="15.75" customHeight="1" s="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 ht="15.75" customHeight="1" s="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 ht="15.75" customHeight="1" s="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 ht="15.75" customHeight="1" s="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 ht="15.75" customHeight="1" s="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 ht="15.75" customHeight="1" s="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 ht="15.75" customHeight="1" s="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 ht="15.75" customHeight="1" s="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 ht="15.75" customHeight="1" s="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 ht="15.75" customHeight="1" s="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 ht="15.75" customHeight="1" s="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 ht="15.75" customHeight="1" s="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 ht="15.75" customHeight="1" s="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 ht="15.75" customHeight="1" s="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 ht="15.75" customHeight="1" s="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 ht="15.75" customHeight="1" s="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 ht="15.75" customHeight="1" s="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 ht="15.75" customHeight="1" s="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 ht="15.75" customHeight="1" s="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 ht="15.75" customHeight="1" s="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 ht="15.75" customHeight="1" s="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 ht="15.75" customHeight="1" s="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 ht="15.75" customHeight="1" s="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 ht="15.75" customHeight="1" s="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 ht="15.75" customHeight="1" s="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 ht="15.75" customHeight="1" s="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 ht="15.75" customHeight="1" s="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 ht="15.75" customHeight="1" s="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 ht="15.75" customHeight="1" s="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 ht="15.75" customHeight="1" s="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 ht="15.75" customHeight="1" s="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 ht="15.75" customHeight="1" s="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 ht="15.75" customHeight="1" s="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 ht="15.75" customHeight="1" s="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 ht="15.75" customHeight="1" s="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 ht="15.75" customHeight="1" s="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 ht="15.75" customHeight="1" s="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 ht="15.75" customHeight="1" s="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 ht="15.75" customHeight="1" s="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 ht="15.75" customHeight="1" s="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 ht="15.75" customHeight="1" s="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 ht="15.75" customHeight="1" s="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 ht="15.75" customHeight="1" s="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 ht="15.75" customHeight="1" s="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 ht="15.75" customHeight="1" s="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 ht="15.75" customHeight="1" s="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 ht="15.75" customHeight="1" s="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 ht="15.75" customHeight="1" s="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 ht="15.75" customHeight="1" s="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 ht="15.75" customHeight="1" s="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 ht="15.75" customHeight="1" s="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 ht="15.75" customHeight="1" s="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 ht="15.75" customHeight="1" s="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 ht="15.75" customHeight="1" s="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 ht="15.75" customHeight="1" s="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 ht="15.75" customHeight="1" s="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 ht="15.75" customHeight="1" s="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 ht="15.75" customHeight="1" s="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 ht="15.75" customHeight="1" s="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 ht="15.75" customHeight="1" s="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 ht="15.75" customHeight="1" s="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 ht="15.75" customHeight="1" s="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 ht="15.75" customHeight="1" s="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 ht="15.75" customHeight="1" s="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 ht="15.75" customHeight="1" s="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 ht="15.75" customHeight="1" s="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 ht="15.75" customHeight="1" s="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 ht="15.75" customHeight="1" s="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 ht="15.75" customHeight="1" s="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 ht="15.75" customHeight="1" s="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 ht="15.75" customHeight="1" s="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 ht="15.75" customHeight="1" s="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 ht="15.75" customHeight="1" s="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 ht="15.75" customHeight="1" s="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 ht="15.75" customHeight="1" s="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 ht="15.75" customHeight="1" s="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 ht="15.75" customHeight="1" s="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 ht="15.75" customHeight="1" s="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 ht="15.75" customHeight="1" s="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 ht="15.75" customHeight="1" s="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 ht="15.75" customHeight="1" s="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 ht="15.75" customHeight="1" s="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 ht="15.75" customHeight="1" s="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 ht="15.75" customHeight="1" s="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 ht="15.75" customHeight="1" s="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 ht="15.75" customHeight="1" s="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 ht="15.75" customHeight="1" s="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 ht="15.75" customHeight="1" s="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 ht="15.75" customHeight="1" s="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 ht="15.75" customHeight="1" s="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 ht="15.75" customHeight="1" s="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 ht="15.75" customHeight="1" s="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 ht="15.75" customHeight="1" s="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 ht="15.75" customHeight="1" s="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 ht="15.75" customHeight="1" s="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 ht="15.75" customHeight="1" s="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 ht="15.75" customHeight="1" s="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 ht="15.75" customHeight="1" s="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 ht="15.75" customHeight="1" s="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 ht="15.75" customHeight="1" s="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 ht="15.75" customHeight="1" s="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 ht="15.75" customHeight="1" s="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 ht="15.75" customHeight="1" s="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 ht="15.75" customHeight="1" s="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 ht="15.75" customHeight="1" s="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 ht="15.75" customHeight="1" s="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mergeCells count="10">
    <mergeCell ref="A2:I2"/>
    <mergeCell ref="K8:K9"/>
    <mergeCell ref="J8:J9"/>
    <mergeCell ref="J15:J17"/>
    <mergeCell ref="J20:J21"/>
    <mergeCell ref="J12:J13"/>
    <mergeCell ref="A1:I1"/>
    <mergeCell ref="K12:K13"/>
    <mergeCell ref="J6:J7"/>
    <mergeCell ref="K6:K7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</hyperlink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36" customWidth="1" style="38" min="1" max="1"/>
    <col width="38" customWidth="1" style="38" min="2" max="2"/>
    <col width="32" customWidth="1" style="38" min="3" max="3"/>
    <col width="50" customWidth="1" style="38" min="4" max="4"/>
    <col width="38" customWidth="1" style="38" min="5" max="5"/>
    <col width="8.710000000000001" customWidth="1" style="38" min="6" max="6"/>
  </cols>
  <sheetData>
    <row r="1" ht="31.5" customHeight="1" s="38">
      <c r="A1" s="20" t="inlineStr">
        <is>
          <t>⚠️ ALWAYS CONFIRM MASS TIMES NIGHT-BEFORE — parish websites listed per row · times shift seasonally + for special events</t>
        </is>
      </c>
      <c r="F1" s="2" t="n"/>
    </row>
    <row r="2" ht="15" customHeight="1" s="38">
      <c r="A2" s="21" t="inlineStr">
        <is>
          <t>⛪ MASS POLICY — Saturday Vigil PRIMARY (covers Sunday obligation) · Sunday options = BACKUP only if Sat Vigil missed</t>
        </is>
      </c>
      <c r="F2" s="2" t="n"/>
    </row>
    <row r="3">
      <c r="F3" s="2" t="n"/>
    </row>
    <row r="4" ht="15" customHeight="1" s="38">
      <c r="A4" s="22" t="inlineStr">
        <is>
          <t>Weekend / Option</t>
        </is>
      </c>
      <c r="B4" s="22" t="inlineStr">
        <is>
          <t>Church</t>
        </is>
      </c>
      <c r="C4" s="22" t="inlineStr">
        <is>
          <t>Where</t>
        </is>
      </c>
      <c r="D4" s="22" t="inlineStr">
        <is>
          <t>Notes</t>
        </is>
      </c>
      <c r="E4" s="23" t="inlineStr">
        <is>
          <t>Confirm URL / Phone</t>
        </is>
      </c>
      <c r="F4" s="2" t="n"/>
    </row>
    <row r="5" ht="49.5" customHeight="1" s="38">
      <c r="A5" s="24" t="inlineStr">
        <is>
          <t>11–12 Jul (Burg Altpernstein) — pick 1 of 4</t>
        </is>
      </c>
      <c r="F5" s="2" t="n"/>
    </row>
    <row r="6" ht="49.5" customHeight="1" s="38">
      <c r="A6" s="25" t="inlineStr">
        <is>
          <t xml:space="preserve">  ① Sat 11 Jul · 19:00 (PRIMARY)</t>
        </is>
      </c>
      <c r="B6" s="25" t="inlineStr">
        <is>
          <t>Stiftskirche Spital am Pyhrn</t>
        </is>
      </c>
      <c r="C6" s="25" t="inlineStr">
        <is>
          <t>~30 min south of castle</t>
        </is>
      </c>
      <c r="D6" s="25" t="inlineStr">
        <is>
          <t>PREFERRED if not jet-lagged · frees Sunday entirely</t>
        </is>
      </c>
      <c r="E6" s="25" t="inlineStr">
        <is>
          <t>pfarre-spital-pyhrn.at</t>
        </is>
      </c>
      <c r="F6" s="2" t="n"/>
    </row>
    <row r="7" ht="49.5" customHeight="1" s="38">
      <c r="A7" s="25" t="inlineStr">
        <is>
          <t xml:space="preserve">  ② Sun 12 Jul · 09:00 (BACKUP A)</t>
        </is>
      </c>
      <c r="B7" s="25" t="inlineStr">
        <is>
          <t>Stiftskirche Spital am Pyhrn</t>
        </is>
      </c>
      <c r="C7" s="25" t="inlineStr">
        <is>
          <t>~30 min south of castle</t>
        </is>
      </c>
      <c r="D7" s="25" t="inlineStr">
        <is>
          <t>If sleep needed, Mass before activities · early start required</t>
        </is>
      </c>
      <c r="E7" s="25" t="inlineStr">
        <is>
          <t>pfarre-spital-pyhrn.at</t>
        </is>
      </c>
      <c r="F7" s="2" t="n"/>
    </row>
    <row r="8">
      <c r="A8" s="25" t="inlineStr">
        <is>
          <t xml:space="preserve">  ③ Sun 12 Jul · 10:00/10:30 (BACKUP B)</t>
        </is>
      </c>
      <c r="B8" s="25" t="inlineStr">
        <is>
          <t>Catholic Pfarrkirche Mariä Himmelfahrt, Hallstatt</t>
        </is>
      </c>
      <c r="C8" s="25" t="inlineStr">
        <is>
          <t>~1.5 hrs · cliff church above village</t>
        </is>
      </c>
      <c r="D8" s="25" t="inlineStr">
        <is>
          <t>BEST if combining with Hallstatt day-trip · attend Mass first then Bone House + lakeside</t>
        </is>
      </c>
      <c r="E8" s="25" t="inlineStr">
        <is>
          <t>pfarre-hallstatt.at · +43 6134 8279</t>
        </is>
      </c>
      <c r="F8" s="2" t="n"/>
    </row>
    <row r="9">
      <c r="A9" s="3" t="inlineStr">
        <is>
          <t xml:space="preserve">  ④ Sat or Sun (BACKUP C, closest)</t>
        </is>
      </c>
      <c r="B9" s="25" t="inlineStr">
        <is>
          <t>Pfarrkirche Kirchdorf an der Krems</t>
        </is>
      </c>
      <c r="C9" s="25" t="inlineStr">
        <is>
          <t>5 min from castle</t>
        </is>
      </c>
      <c r="D9" s="25" t="inlineStr">
        <is>
          <t>Times not posted online · call to confirm</t>
        </is>
      </c>
      <c r="E9" s="25" t="inlineStr">
        <is>
          <t>+43 7582 62052</t>
        </is>
      </c>
      <c r="F9" s="2" t="n"/>
    </row>
    <row r="10">
      <c r="A10" s="24" t="inlineStr">
        <is>
          <t>18–19 Jul (Mestre/Florence)</t>
        </is>
      </c>
      <c r="F10" s="2" t="n"/>
    </row>
    <row r="11">
      <c r="A11" s="4" t="inlineStr">
        <is>
          <t xml:space="preserve">  Sat 18 Jul · 17:00 (PRIMARY)</t>
        </is>
      </c>
      <c r="B11" s="4" t="inlineStr">
        <is>
          <t>Basilica San Marco, Venice</t>
        </is>
      </c>
      <c r="C11" s="4" t="inlineStr">
        <is>
          <t>Heart of Venice islands · arrive 16:30</t>
        </is>
      </c>
      <c r="D11" s="4" t="inlineStr">
        <is>
          <t>ICONIC — incredible acoustics · Italian/Latin</t>
        </is>
      </c>
      <c r="E11" s="4" t="inlineStr">
        <is>
          <t>basilicasanmarco.it</t>
        </is>
      </c>
      <c r="F11" s="2" t="n"/>
    </row>
    <row r="12">
      <c r="A12" s="9" t="inlineStr">
        <is>
          <t xml:space="preserve">  Sun 19 Jul · 10:00 sung (BACKUP)</t>
        </is>
      </c>
      <c r="B12" s="25" t="inlineStr">
        <is>
          <t>Basilica di Sant'Antonio, Padua</t>
        </is>
      </c>
      <c r="C12" s="25" t="inlineStr">
        <is>
          <t>~30 min en route Mestre→Florence</t>
        </is>
      </c>
      <c r="D12" s="25" t="inlineStr">
        <is>
          <t>St Anthony's relics · combine with Padua sightseeing stop</t>
        </is>
      </c>
      <c r="E12" s="25" t="inlineStr">
        <is>
          <t>santantonio.org</t>
        </is>
      </c>
      <c r="F12" s="2" t="n"/>
    </row>
    <row r="13" ht="49.5" customHeight="1" s="38">
      <c r="A13" s="26" t="inlineStr">
        <is>
          <t>25–26 Jul (Moléson/Geneva)</t>
        </is>
      </c>
      <c r="B13" s="27" t="n"/>
      <c r="C13" s="27" t="n"/>
      <c r="D13" s="27" t="n"/>
      <c r="E13" s="28" t="n"/>
      <c r="F13" s="2" t="n"/>
    </row>
    <row r="14" ht="49.5" customHeight="1" s="38">
      <c r="A14" s="6" t="inlineStr">
        <is>
          <t xml:space="preserve">  Sat 25 Jul · 18:00 (PRIMARY)</t>
        </is>
      </c>
      <c r="B14" s="6" t="inlineStr">
        <is>
          <t>Église Saint-Théodule, Gruyères OR Saint-Pierre-aux-Liens, Bulle</t>
        </is>
      </c>
      <c r="C14" s="6" t="inlineStr">
        <is>
          <t>5 km / 8 km from Moléson hotel</t>
        </is>
      </c>
      <c r="D14" s="6" t="inlineStr">
        <is>
          <t>After Gornergrat morning + drive · arrive Moléson 16:00, leave for Mass 17:30</t>
        </is>
      </c>
      <c r="E14" s="6" t="inlineStr">
        <is>
          <t>paroissedegruyeres.ch · paroissecatholique-bulle.ch</t>
        </is>
      </c>
      <c r="F14" s="2" t="n"/>
    </row>
    <row r="15" ht="49.5" customHeight="1" s="38">
      <c r="A15" s="2" t="inlineStr">
        <is>
          <t xml:space="preserve">  Sun 26 Jul · 10:15 (BACKUP)</t>
        </is>
      </c>
      <c r="B15" s="2" t="inlineStr">
        <is>
          <t>Basilique Notre-Dame de Genève</t>
        </is>
      </c>
      <c r="C15" s="2" t="inlineStr">
        <is>
          <t>Pl. de Cornavin · part of Geneva day-trip</t>
        </is>
      </c>
      <c r="D15" s="2" t="inlineStr">
        <is>
          <t>Means leaving Moléson 08:30 (vs relaxed 10:00 sightseeing-only start)</t>
        </is>
      </c>
      <c r="E15" s="2" t="inlineStr">
        <is>
          <t>eglisecatholique-ge.ch · messesinfo.catholique.fr</t>
        </is>
      </c>
      <c r="F15" s="2" t="n"/>
    </row>
    <row r="16" ht="49.5" customHeight="1" s="38">
      <c r="A16" s="24" t="inlineStr">
        <is>
          <t>1–2 Aug (Belgium done Fri en route · Sat = AMS rest)</t>
        </is>
      </c>
      <c r="F16" s="2" t="n"/>
    </row>
    <row r="17" ht="49.5" customHeight="1" s="38">
      <c r="A17" s="25" t="inlineStr">
        <is>
          <t xml:space="preserve">  Sat 1 Aug · 17:00 (PRIMARY)</t>
        </is>
      </c>
      <c r="B17" s="25" t="inlineStr">
        <is>
          <t>Sint-Nicolaaskerk (Basilica of Saint Nicholas), Amsterdam</t>
        </is>
      </c>
      <c r="C17" s="25" t="inlineStr">
        <is>
          <t>Prins Hendrikkade 73 · opposite Centraal Station</t>
        </is>
      </c>
      <c r="D17" s="25" t="inlineStr">
        <is>
          <t>BELGIUM NOW DONE FRI EN ROUTE · Sat = AMS rest day · Vigil here covers Sun</t>
        </is>
      </c>
      <c r="E17" s="25" t="inlineStr">
        <is>
          <t>sintnicolaaskerk.nl · 020-624 8749</t>
        </is>
      </c>
      <c r="F17" s="2" t="n"/>
    </row>
    <row r="18">
      <c r="A18" s="25" t="inlineStr">
        <is>
          <t xml:space="preserve">  Sun 2 Aug · 10:30 (BACKUP)</t>
        </is>
      </c>
      <c r="B18" s="25" t="inlineStr">
        <is>
          <t>Sint-Nicolaaskerk (Basilica of Saint Nicholas), Amsterdam</t>
        </is>
      </c>
      <c r="C18" s="25" t="inlineStr">
        <is>
          <t>Prins Hendrikkade 73 · opposite Centraal Station</t>
        </is>
      </c>
      <c r="D18" s="25" t="inlineStr">
        <is>
          <t>Same church · would compress Sun morning brunch + flight prep</t>
        </is>
      </c>
      <c r="E18" s="25" t="inlineStr">
        <is>
          <t>sintnicolaaskerk.nl · 020-624 8749</t>
        </is>
      </c>
      <c r="F18" s="2" t="n"/>
    </row>
    <row r="19">
      <c r="A19" s="29" t="inlineStr">
        <is>
          <t>Catholic Mass — Rome (Auri apartment Vaticano · Aurelio)</t>
        </is>
      </c>
      <c r="B19" s="2" t="n"/>
      <c r="C19" s="2" t="n"/>
      <c r="D19" s="2" t="n"/>
      <c r="E19" s="2" t="n"/>
      <c r="F19" s="2" t="n"/>
    </row>
    <row r="20">
      <c r="A20" s="30" t="inlineStr">
        <is>
          <t>Days 10–12 (Mon 20 – Wed 22 Jul) · weekdays · daily Mass at major basilicas</t>
        </is>
      </c>
      <c r="B20" s="2" t="n"/>
      <c r="C20" s="2" t="n"/>
      <c r="D20" s="2" t="n"/>
      <c r="E20" s="2" t="n"/>
      <c r="F20" s="2" t="n"/>
    </row>
    <row r="21" ht="15.75" customHeight="1" s="38">
      <c r="A21" s="2" t="n"/>
      <c r="B21" s="2" t="n"/>
      <c r="C21" s="2" t="n"/>
      <c r="D21" s="2" t="n"/>
      <c r="E21" s="2" t="n"/>
      <c r="F21" s="2" t="n"/>
    </row>
    <row r="22" ht="15.75" customHeight="1" s="38">
      <c r="A22" s="31" t="inlineStr">
        <is>
          <t>Church</t>
        </is>
      </c>
      <c r="B22" s="2" t="n"/>
      <c r="C22" s="2" t="n"/>
      <c r="D22" s="2" t="n"/>
      <c r="E22" s="2" t="n"/>
      <c r="F22" s="2" t="n"/>
    </row>
    <row r="23" ht="39.75" customHeight="1" s="38">
      <c r="A23" s="6" t="inlineStr">
        <is>
          <t>St. Peter's Basilica</t>
        </is>
      </c>
      <c r="B23" s="2" t="n"/>
      <c r="C23" s="2" t="n"/>
      <c r="D23" s="2" t="n"/>
      <c r="E23" s="2" t="n"/>
      <c r="F23" s="2" t="n"/>
    </row>
    <row r="24" ht="39.75" customHeight="1" s="38">
      <c r="A24" s="6" t="inlineStr">
        <is>
          <t>Basilica of San Giovanni in Laterano</t>
        </is>
      </c>
      <c r="B24" s="6" t="inlineStr">
        <is>
          <t>Piazza San Giovanni · 00184 Roma</t>
        </is>
      </c>
      <c r="C24" s="6" t="inlineStr">
        <is>
          <t>~25 min via Cipro→San Giovanni (Line A)</t>
        </is>
      </c>
      <c r="D24" s="6" t="inlineStr">
        <is>
          <t>Daily Mass 18:00 (Italian) · Sun 10:30</t>
        </is>
      </c>
      <c r="E24" s="6" t="inlineStr">
        <is>
          <t>CATHEDRAL OF ROME — Pope's actual cathedral. Visit Day 11 evening or Day 12 early.</t>
        </is>
      </c>
      <c r="F24" s="2" t="n"/>
    </row>
    <row r="25" ht="39.75" customHeight="1" s="38">
      <c r="A25" s="6" t="inlineStr">
        <is>
          <t>Basilica di Santa Maria Maggiore</t>
        </is>
      </c>
      <c r="B25" s="27" t="n"/>
      <c r="C25" s="27" t="n"/>
      <c r="D25" s="27" t="n"/>
      <c r="E25" s="28" t="n"/>
      <c r="F25" s="2" t="n"/>
    </row>
    <row r="26" ht="15.75" customHeight="1" s="38">
      <c r="A26" s="6" t="inlineStr">
        <is>
          <t>Basilica di San Paolo fuori le Mura</t>
        </is>
      </c>
      <c r="B26" s="27" t="n"/>
      <c r="C26" s="27" t="n"/>
      <c r="D26" s="27" t="n"/>
      <c r="E26" s="28" t="n"/>
      <c r="F26" s="2" t="n"/>
    </row>
    <row r="27" ht="15.75" customHeight="1" s="38">
      <c r="A27" s="6" t="inlineStr">
        <is>
          <t>Chiesa di Santa Maria del Rosario in Prati</t>
        </is>
      </c>
      <c r="B27" s="6" t="inlineStr">
        <is>
          <t>Via degli Scipioni 6 · 00192 Roma</t>
        </is>
      </c>
      <c r="C27" s="6" t="inlineStr">
        <is>
          <t>~12 min walk</t>
        </is>
      </c>
      <c r="D27" s="6" t="inlineStr">
        <is>
          <t>Confirm with parish · weekday Masses typically 07:00, 18:30</t>
        </is>
      </c>
      <c r="E27" s="6" t="inlineStr">
        <is>
          <t>Closest Catholic church to hotel · Italian neighbourhood parish</t>
        </is>
      </c>
      <c r="F27" s="2" t="n"/>
    </row>
    <row r="28" ht="15.75" customHeight="1" s="38">
      <c r="A28" s="2" t="n"/>
      <c r="B28" s="2" t="n"/>
      <c r="C28" s="2" t="n"/>
      <c r="D28" s="2" t="n"/>
      <c r="E28" s="2" t="n"/>
      <c r="F28" s="2" t="n"/>
    </row>
    <row r="29" ht="15.75" customHeight="1" s="38">
      <c r="A29" s="29" t="inlineStr">
        <is>
          <t>Catholic Mass — Florence (Sun 19 Jul)</t>
        </is>
      </c>
      <c r="B29" s="2" t="n"/>
      <c r="C29" s="2" t="n"/>
      <c r="D29" s="2" t="n"/>
      <c r="E29" s="2" t="n"/>
      <c r="F29" s="2" t="n"/>
    </row>
    <row r="30" ht="15.75" customHeight="1" s="38">
      <c r="A30" s="30" t="inlineStr">
        <is>
          <t>Day 9 (Sun 19 Jul) · evening Mass after arrival from Mestre</t>
        </is>
      </c>
      <c r="B30" s="2" t="n"/>
      <c r="C30" s="2" t="n"/>
      <c r="D30" s="2" t="n"/>
      <c r="E30" s="2" t="n"/>
      <c r="F30" s="2" t="n"/>
    </row>
    <row r="31" ht="49.5" customHeight="1" s="38">
      <c r="A31" s="2" t="n"/>
      <c r="B31" s="2" t="n"/>
      <c r="C31" s="2" t="n"/>
      <c r="D31" s="2" t="n"/>
      <c r="E31" s="2" t="n"/>
      <c r="F31" s="2" t="n"/>
    </row>
    <row r="32" ht="49.5" customHeight="1" s="38">
      <c r="A32" s="31" t="inlineStr">
        <is>
          <t>Church</t>
        </is>
      </c>
      <c r="B32" s="31" t="inlineStr">
        <is>
          <t>Where</t>
        </is>
      </c>
      <c r="C32" s="31" t="inlineStr">
        <is>
          <t>From Garden Blue</t>
        </is>
      </c>
      <c r="D32" s="31" t="inlineStr">
        <is>
          <t>Mass times</t>
        </is>
      </c>
      <c r="E32" s="31" t="inlineStr">
        <is>
          <t>Phone / Notes</t>
        </is>
      </c>
      <c r="F32" s="2" t="n"/>
    </row>
    <row r="33" ht="15.75" customHeight="1" s="38">
      <c r="A33" s="6" t="inlineStr">
        <is>
          <t>Basilica of Santa Croce</t>
        </is>
      </c>
      <c r="B33" s="27" t="n"/>
      <c r="C33" s="27" t="n"/>
      <c r="D33" s="27" t="n"/>
      <c r="E33" s="28" t="n"/>
      <c r="F33" s="2" t="n"/>
    </row>
    <row r="34" ht="15.75" customHeight="1" s="38">
      <c r="A34" s="6" t="inlineStr">
        <is>
          <t>Cathedral (Duomo · Santa Maria del Fiore)</t>
        </is>
      </c>
      <c r="B34" s="27" t="n"/>
      <c r="C34" s="27" t="n"/>
      <c r="D34" s="27" t="n"/>
      <c r="E34" s="28" t="n"/>
      <c r="F34" s="2" t="n"/>
    </row>
    <row r="35" ht="15.75" customHeight="1" s="38">
      <c r="A35" s="6" t="inlineStr">
        <is>
          <t>Basilica di Santa Maria Novella</t>
        </is>
      </c>
      <c r="B35" s="6" t="inlineStr">
        <is>
          <t>Piazza Santa Maria Novella · near train station</t>
        </is>
      </c>
      <c r="C35" s="6" t="inlineStr">
        <is>
          <t>~20 min walk</t>
        </is>
      </c>
      <c r="D35" s="6" t="inlineStr">
        <is>
          <t>Sun 10:30, 12:00, 18:00</t>
        </is>
      </c>
      <c r="E35" s="6" t="inlineStr">
        <is>
          <t>Convenient if dining downtown</t>
        </is>
      </c>
      <c r="F35" s="2" t="n"/>
    </row>
    <row r="36" ht="15.75" customHeight="1" s="38">
      <c r="A36" s="2" t="n"/>
      <c r="B36" s="2" t="n"/>
      <c r="C36" s="2" t="n"/>
      <c r="D36" s="2" t="n"/>
      <c r="E36" s="2" t="n"/>
      <c r="F36" s="2" t="n"/>
    </row>
    <row r="37" ht="15.75" customHeight="1" s="38">
      <c r="A37" s="29" t="inlineStr">
        <is>
          <t>Catholic Mass — Budapest (Thu 16 / Fri 17 Jul)</t>
        </is>
      </c>
      <c r="B37" s="2" t="n"/>
      <c r="C37" s="2" t="n"/>
      <c r="D37" s="2" t="n"/>
      <c r="E37" s="2" t="n"/>
      <c r="F37" s="2" t="n"/>
    </row>
    <row r="38" ht="15.75" customHeight="1" s="38">
      <c r="A38" s="30" t="inlineStr">
        <is>
          <t>Day 6 (Thu 16 Jul evening) or Day 7 (Fri 17 Jul early) · weekday daily Mass options</t>
        </is>
      </c>
      <c r="B38" s="2" t="n"/>
      <c r="C38" s="2" t="n"/>
      <c r="D38" s="2" t="n"/>
      <c r="E38" s="2" t="n"/>
      <c r="F38" s="2" t="n"/>
    </row>
    <row r="39" ht="15.75" customHeight="1" s="38">
      <c r="A39" s="2" t="n"/>
      <c r="B39" s="2" t="n"/>
      <c r="C39" s="2" t="n"/>
      <c r="D39" s="2" t="n"/>
      <c r="E39" s="2" t="n"/>
      <c r="F39" s="2" t="n"/>
    </row>
    <row r="40" ht="15.75" customHeight="1" s="38">
      <c r="A40" s="31" t="inlineStr">
        <is>
          <t>Church</t>
        </is>
      </c>
      <c r="B40" s="31" t="inlineStr">
        <is>
          <t>Where</t>
        </is>
      </c>
      <c r="C40" s="31" t="inlineStr">
        <is>
          <t>From City Home</t>
        </is>
      </c>
      <c r="D40" s="31" t="inlineStr">
        <is>
          <t>Mass times</t>
        </is>
      </c>
      <c r="E40" s="31" t="inlineStr">
        <is>
          <t>Phone / Notes</t>
        </is>
      </c>
      <c r="F40" s="2" t="n"/>
    </row>
    <row r="41" ht="15.75" customHeight="1" s="38">
      <c r="A41" s="6" t="inlineStr">
        <is>
          <t>St. Stephen's Basilica</t>
        </is>
      </c>
      <c r="B41" s="6" t="inlineStr">
        <is>
          <t>Szent István tér 1 · 1051 Budapest</t>
        </is>
      </c>
      <c r="C41" s="6" t="inlineStr">
        <is>
          <t>~15 min walk</t>
        </is>
      </c>
      <c r="D41" s="6" t="inlineStr">
        <is>
          <t>Daily 07:00, 08:00, 18:00 · Sat vigil 18:00 · Sun 08:30, 10:00, 12:00, 18:00</t>
        </is>
      </c>
      <c r="E41" s="6" t="inlineStr">
        <is>
          <t>Hungary's holiest church · best option for the trip</t>
        </is>
      </c>
      <c r="F41" s="2" t="n"/>
    </row>
    <row r="42" ht="15.75" customHeight="1" s="38">
      <c r="A42" s="6" t="inlineStr">
        <is>
          <t>Matthias Church (Mátyás-templom)</t>
        </is>
      </c>
      <c r="B42" s="6" t="inlineStr">
        <is>
          <t>Szentháromság tér 2 · Castle Hill</t>
        </is>
      </c>
      <c r="C42" s="6" t="inlineStr">
        <is>
          <t>~25 min via Castle Hill</t>
        </is>
      </c>
      <c r="D42" s="6" t="inlineStr">
        <is>
          <t>Sun 07:00, 08:30, 10:00 (sung), 12:00, 18:00 · weekdays 07:00, 18:00</t>
        </is>
      </c>
      <c r="E42" s="6" t="inlineStr">
        <is>
          <t>Combine with Castle Hill visit · 700-year-old church</t>
        </is>
      </c>
      <c r="F42" s="2" t="n"/>
    </row>
    <row r="43" ht="15.75" customHeight="1" s="38">
      <c r="A43" s="2" t="n"/>
      <c r="B43" s="2" t="n"/>
      <c r="C43" s="2" t="n"/>
      <c r="D43" s="2" t="n"/>
      <c r="E43" s="2" t="n"/>
      <c r="F43" s="2" t="n"/>
    </row>
    <row r="44" ht="15.75" customHeight="1" s="38">
      <c r="A44" s="2" t="inlineStr">
        <is>
          <t>Catholic Mass — Geneva (Sun 26 Jul · Day 16)</t>
        </is>
      </c>
      <c r="B44" s="2" t="n"/>
      <c r="C44" s="2" t="n"/>
      <c r="D44" s="2" t="n"/>
      <c r="E44" s="2" t="n"/>
      <c r="F44" s="2" t="n"/>
    </row>
    <row r="45" ht="15.75" customHeight="1" s="38">
      <c r="A45" s="2" t="inlineStr">
        <is>
          <t>Day trip from Moléson · Sunday Mass + Geneva sightseeing</t>
        </is>
      </c>
      <c r="B45" s="2" t="n"/>
      <c r="C45" s="2" t="n"/>
      <c r="D45" s="2" t="n"/>
      <c r="E45" s="2" t="n"/>
      <c r="F45" s="2" t="n"/>
    </row>
    <row r="46" ht="15.75" customHeight="1" s="38">
      <c r="A46" s="2" t="n"/>
      <c r="B46" s="2" t="n"/>
      <c r="C46" s="2" t="n"/>
      <c r="D46" s="2" t="n"/>
      <c r="E46" s="2" t="n"/>
      <c r="F46" s="2" t="n"/>
    </row>
    <row r="47" ht="15.75" customHeight="1" s="38">
      <c r="A47" s="2" t="inlineStr">
        <is>
          <t>Church</t>
        </is>
      </c>
      <c r="B47" s="2" t="inlineStr">
        <is>
          <t>Where</t>
        </is>
      </c>
      <c r="C47" s="2" t="inlineStr">
        <is>
          <t>From Moléson</t>
        </is>
      </c>
      <c r="D47" s="2" t="inlineStr">
        <is>
          <t>Mass times</t>
        </is>
      </c>
      <c r="E47" s="2" t="inlineStr">
        <is>
          <t>Phone / Notes</t>
        </is>
      </c>
      <c r="F47" s="2" t="n"/>
    </row>
    <row r="48" ht="15.75" customHeight="1" s="38">
      <c r="A48" s="2" t="inlineStr">
        <is>
          <t>Basilique Notre-Dame de Genève</t>
        </is>
      </c>
      <c r="B48" s="2" t="inlineStr">
        <is>
          <t>Pl. de Cornavin, 1201 Geneva</t>
        </is>
      </c>
      <c r="C48" s="2" t="inlineStr">
        <is>
          <t>~80 km / 1h 15min drive</t>
        </is>
      </c>
      <c r="D48" s="2" t="inlineStr">
        <is>
          <t>Sun 7:30 · 9:00 · 10:15 · 11:30 · 17:00 · 19:00 (English) · 20:30</t>
        </is>
      </c>
      <c r="E48" s="2" t="inlineStr">
        <is>
          <t>RECOMMENDED — main Catholic church in Geneva, by Cornavin train station, easy parking. 10:15 best with kids (leave Moléson 8:30).</t>
        </is>
      </c>
      <c r="F48" s="2" t="n"/>
    </row>
    <row r="49" ht="15.75" customHeight="1" s="38">
      <c r="A49" s="2" t="inlineStr">
        <is>
          <t>Église du Sacré-Cœur</t>
        </is>
      </c>
      <c r="B49" s="2" t="inlineStr">
        <is>
          <t>Plainpalais area, Geneva</t>
        </is>
      </c>
      <c r="C49" s="2" t="inlineStr">
        <is>
          <t>~80 km</t>
        </is>
      </c>
      <c r="D49" s="2" t="inlineStr">
        <is>
          <t>Sun 10:00, 11:30 (typically — confirm)</t>
        </is>
      </c>
      <c r="E49" s="2" t="inlineStr">
        <is>
          <t>Backup option · less central than Notre-Dame</t>
        </is>
      </c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inlineStr">
        <is>
          <t>Catholic Mass — Lourdes Sanctuary (Tue 28 / Wed 29 Jul)</t>
        </is>
      </c>
      <c r="B52" s="2" t="n"/>
      <c r="C52" s="2" t="n"/>
      <c r="D52" s="2" t="n"/>
      <c r="E52" s="2" t="n"/>
      <c r="F52" s="2" t="n"/>
    </row>
    <row r="53" ht="15.75" customHeight="1" s="38">
      <c r="A53" s="2" t="inlineStr">
        <is>
          <t>Day 18 Tue Torch Procession + daily Masses at the Sanctuary</t>
        </is>
      </c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inlineStr">
        <is>
          <t>Church / Site</t>
        </is>
      </c>
      <c r="B55" s="2" t="inlineStr">
        <is>
          <t>Where</t>
        </is>
      </c>
      <c r="C55" s="2" t="inlineStr">
        <is>
          <t>When</t>
        </is>
      </c>
      <c r="D55" s="2" t="inlineStr">
        <is>
          <t>Notes</t>
        </is>
      </c>
      <c r="E55" s="2" t="n"/>
      <c r="F55" s="2" t="n"/>
    </row>
    <row r="56" ht="15.75" customHeight="1" s="38">
      <c r="A56" s="2" t="inlineStr">
        <is>
          <t>🕯️ Torch Procession (Procession Mariale aux Flambeaux)</t>
        </is>
      </c>
      <c r="B56" s="2" t="inlineStr">
        <is>
          <t>Esplanade · meet at Crowned Statue · ends at Rosary Basilica</t>
        </is>
      </c>
      <c r="C56" s="2" t="inlineStr">
        <is>
          <t>Daily 21:00 (summer)</t>
        </is>
      </c>
      <c r="D56" s="2" t="inlineStr">
        <is>
          <t>Iconic Lourdes moment · candles ~€3-5 · ~1 hr · Salve Regina at Rosary Basilica</t>
        </is>
      </c>
      <c r="E56" s="2" t="n"/>
      <c r="F56" s="2" t="n"/>
    </row>
    <row r="57" ht="15.75" customHeight="1" s="38">
      <c r="A57" s="2" t="inlineStr">
        <is>
          <t>Basilica of the Rosary (Basilique Notre-Dame du Rosaire)</t>
        </is>
      </c>
      <c r="B57" s="2" t="inlineStr">
        <is>
          <t>Sanctuary · lower basilica with iconic dome</t>
        </is>
      </c>
      <c r="C57" s="2" t="inlineStr">
        <is>
          <t>Daily Masses many languages</t>
        </is>
      </c>
      <c r="D57" s="2" t="inlineStr">
        <is>
          <t>Procession ends here</t>
        </is>
      </c>
      <c r="E57" s="2" t="n"/>
      <c r="F57" s="2" t="n"/>
    </row>
    <row r="58" ht="15.75" customHeight="1" s="38">
      <c r="A58" s="2" t="inlineStr">
        <is>
          <t>Underground Basilica of St Pius X</t>
        </is>
      </c>
      <c r="B58" s="2" t="inlineStr">
        <is>
          <t>Sanctuary · underground · 25,000 capacity</t>
        </is>
      </c>
      <c r="C58" s="2" t="inlineStr">
        <is>
          <t>Sun morning International Mass (multilingual incl English)</t>
        </is>
      </c>
      <c r="D58" s="2" t="inlineStr">
        <is>
          <t>Largest space in Sanctuary</t>
        </is>
      </c>
      <c r="E58" s="2" t="n"/>
      <c r="F58" s="2" t="n"/>
    </row>
    <row r="59" ht="15.75" customHeight="1" s="38">
      <c r="A59" s="2" t="inlineStr">
        <is>
          <t>Grotto of Massabielle (apparition site)</t>
        </is>
      </c>
      <c r="B59" s="2" t="inlineStr">
        <is>
          <t>Sanctuary · river bank</t>
        </is>
      </c>
      <c r="C59" s="2" t="inlineStr">
        <is>
          <t>Open 24/7 · light candles anytime</t>
        </is>
      </c>
      <c r="D59" s="2" t="inlineStr">
        <is>
          <t>The actual apparition cave · sacred water taps</t>
        </is>
      </c>
      <c r="E59" s="2" t="n"/>
      <c r="F59" s="2" t="n"/>
    </row>
    <row r="60" ht="15.75" customHeight="1" s="38">
      <c r="A60" s="2" t="inlineStr">
        <is>
          <t>Church of St Bernadette (Église Sainte-Bernadette)</t>
        </is>
      </c>
      <c r="B60" s="2" t="inlineStr">
        <is>
          <t>Across the river Gave · modern church</t>
        </is>
      </c>
      <c r="C60" s="2" t="inlineStr">
        <is>
          <t>Sun ~09:30 International Mass</t>
        </is>
      </c>
      <c r="D60" s="2" t="inlineStr">
        <is>
          <t>Built 1988 · across from Grotto · large overflow space</t>
        </is>
      </c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inlineStr">
        <is>
          <t>Catholic Mass — Caen / Bayeux (Sat 1 Aug Vigil — note: now in Belgium day-trip plan)</t>
        </is>
      </c>
      <c r="B62" s="2" t="n"/>
      <c r="C62" s="2" t="n"/>
      <c r="D62" s="2" t="n"/>
      <c r="E62" s="2" t="n"/>
      <c r="F62" s="2" t="n"/>
    </row>
    <row r="63" ht="15.75" customHeight="1" s="38">
      <c r="A63" s="2" t="inlineStr">
        <is>
          <t>Days 20–21 Caen overnight · Sat Vigil now mostly via Bruges/AMS due to revised plan</t>
        </is>
      </c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inlineStr">
        <is>
          <t>Church</t>
        </is>
      </c>
      <c r="B65" s="2" t="inlineStr">
        <is>
          <t>Where</t>
        </is>
      </c>
      <c r="C65" s="2" t="inlineStr">
        <is>
          <t>When</t>
        </is>
      </c>
      <c r="D65" s="2" t="inlineStr">
        <is>
          <t>Notes</t>
        </is>
      </c>
      <c r="E65" s="2" t="n"/>
      <c r="F65" s="2" t="n"/>
    </row>
    <row r="66" ht="15.75" customHeight="1" s="38">
      <c r="A66" s="2" t="inlineStr">
        <is>
          <t>Cathédrale Notre-Dame de Bayeux</t>
        </is>
      </c>
      <c r="B66" s="2" t="inlineStr">
        <is>
          <t>Bayeux · 30 km west of Caen</t>
        </is>
      </c>
      <c r="C66" s="2" t="inlineStr">
        <is>
          <t>Sat Vigil ~18:30</t>
        </is>
      </c>
      <c r="D66" s="2" t="inlineStr">
        <is>
          <t>Combine with Tapestry visit · medieval Norman cathedral</t>
        </is>
      </c>
      <c r="E66" s="2" t="n"/>
      <c r="F66" s="2" t="n"/>
    </row>
    <row r="67" ht="15.75" customHeight="1" s="38">
      <c r="A67" s="2" t="inlineStr">
        <is>
          <t>Église Saint-Pierre de Caen</t>
        </is>
      </c>
      <c r="B67" s="2" t="inlineStr">
        <is>
          <t>Caen city centre · gothic</t>
        </is>
      </c>
      <c r="C67" s="2" t="inlineStr">
        <is>
          <t>Sat Vigil ~18:30</t>
        </is>
      </c>
      <c r="D67" s="2" t="inlineStr">
        <is>
          <t>Downtown Caen · easy access from hotel</t>
        </is>
      </c>
      <c r="E67" s="2" t="n"/>
      <c r="F67" s="2" t="n"/>
    </row>
    <row r="68" ht="15.75" customHeight="1" s="38">
      <c r="A68" s="2" t="inlineStr">
        <is>
          <t>Abbaye aux Hommes (Église Saint-Étienne)</t>
        </is>
      </c>
      <c r="B68" s="2" t="inlineStr">
        <is>
          <t>Caen · William the Conqueror's church</t>
        </is>
      </c>
      <c r="C68" s="2" t="inlineStr">
        <is>
          <t>Sat Vigil ~18:30</t>
        </is>
      </c>
      <c r="D68" s="2" t="inlineStr">
        <is>
          <t>Historic abbey church · WWII shelter site</t>
        </is>
      </c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inlineStr">
        <is>
          <t>Catholic Mass — Belgium day-trip (Sat 1 Aug Vigil)</t>
        </is>
      </c>
      <c r="B70" s="2" t="n"/>
      <c r="C70" s="2" t="n"/>
      <c r="D70" s="2" t="n"/>
      <c r="E70" s="2" t="n"/>
      <c r="F70" s="2" t="n"/>
    </row>
    <row r="71" ht="15.75" customHeight="1" s="38">
      <c r="A71" s="2" t="inlineStr">
        <is>
          <t>Day 22 Sat — Belgium day-trip from AMS</t>
        </is>
      </c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inlineStr">
        <is>
          <t>Church</t>
        </is>
      </c>
      <c r="B73" s="2" t="inlineStr">
        <is>
          <t>Where</t>
        </is>
      </c>
      <c r="C73" s="2" t="inlineStr">
        <is>
          <t>When</t>
        </is>
      </c>
      <c r="D73" s="2" t="inlineStr">
        <is>
          <t>Notes</t>
        </is>
      </c>
      <c r="E73" s="2" t="n"/>
      <c r="F73" s="2" t="n"/>
    </row>
    <row r="74" ht="15.75" customHeight="1" s="38">
      <c r="A74" s="2" t="inlineStr">
        <is>
          <t>🇧🇪 Heilig-Bloedbasiliek (Basilica of the Holy Blood)</t>
        </is>
      </c>
      <c r="B74" s="2" t="inlineStr">
        <is>
          <t>Burg 13, 8000 Brugge · in the Burg Square</t>
        </is>
      </c>
      <c r="C74" s="2" t="inlineStr">
        <is>
          <t>Sat Vigil ~18:30 typical</t>
        </is>
      </c>
      <c r="D74" s="2" t="inlineStr">
        <is>
          <t>BEST option if staying late in Bruges · stunning basilica</t>
        </is>
      </c>
      <c r="E74" s="2" t="n"/>
      <c r="F74" s="2" t="n"/>
    </row>
    <row r="75" ht="15.75" customHeight="1" s="38">
      <c r="A75" s="2" t="inlineStr">
        <is>
          <t>🇧🇪 Onze-Lieve-Vrouwekerk (Church of Our Lady)</t>
        </is>
      </c>
      <c r="B75" s="2" t="inlineStr">
        <is>
          <t>Mariastraat, Bruges</t>
        </is>
      </c>
      <c r="C75" s="2" t="inlineStr">
        <is>
          <t>Various Masses</t>
        </is>
      </c>
      <c r="D75" s="2" t="inlineStr">
        <is>
          <t>Has Michelangelo's Madonna and Child</t>
        </is>
      </c>
      <c r="E75" s="2" t="n"/>
      <c r="F75" s="2" t="n"/>
    </row>
    <row r="76" ht="15.75" customHeight="1" s="38">
      <c r="A76" s="2" t="inlineStr">
        <is>
          <t>🇧🇪 Cathedral of St Michael and St Gudula</t>
        </is>
      </c>
      <c r="B76" s="2" t="inlineStr">
        <is>
          <t>Place Sainte-Gudule, Brussels</t>
        </is>
      </c>
      <c r="C76" s="2" t="inlineStr">
        <is>
          <t>Sat Vigil ~18:00</t>
        </is>
      </c>
      <c r="D76" s="2" t="inlineStr">
        <is>
          <t>If returning via Brussels later in day</t>
        </is>
      </c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inlineStr">
        <is>
          <t>Catholic Mass — Amsterdam (Sat 1 / Sun 2 Aug)</t>
        </is>
      </c>
      <c r="B78" s="2" t="n"/>
      <c r="C78" s="2" t="n"/>
      <c r="D78" s="2" t="n"/>
      <c r="E78" s="2" t="n"/>
      <c r="F78" s="2" t="n"/>
    </row>
    <row r="79" ht="15.75" customHeight="1" s="38">
      <c r="A79" s="2" t="inlineStr">
        <is>
          <t>Day 22 Sat Vigil OR Day 23 Sun morning before CPH flight</t>
        </is>
      </c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inlineStr">
        <is>
          <t>Church</t>
        </is>
      </c>
      <c r="B81" s="2" t="inlineStr">
        <is>
          <t>Where</t>
        </is>
      </c>
      <c r="C81" s="2" t="inlineStr">
        <is>
          <t>When</t>
        </is>
      </c>
      <c r="D81" s="2" t="inlineStr">
        <is>
          <t>Notes</t>
        </is>
      </c>
      <c r="E81" s="2" t="n"/>
      <c r="F81" s="2" t="n"/>
    </row>
    <row r="82" ht="15.75" customHeight="1" s="38">
      <c r="A82" s="2" t="inlineStr">
        <is>
          <t>Sint-Nicolaaskerk (Basilica of Saint Nicholas)</t>
        </is>
      </c>
      <c r="B82" s="2" t="inlineStr">
        <is>
          <t>Prins Hendrikkade 73, 1012 AD Amsterdam · opposite Centraal Station</t>
        </is>
      </c>
      <c r="C82" s="2" t="inlineStr">
        <is>
          <t>Sat Vigil ~17:00 · Sun ~10:30 (English Mass option)</t>
        </is>
      </c>
      <c r="D82" s="2" t="inlineStr">
        <is>
          <t>PERFECT for Sun 2 Aug morning before CPH evening flight</t>
        </is>
      </c>
      <c r="E82" s="2" t="n"/>
      <c r="F82" s="2" t="n"/>
    </row>
    <row r="83" ht="15.75" customHeight="1" s="38">
      <c r="A83" s="2" t="inlineStr">
        <is>
          <t>De Krijtberg (Sint Franciscus Xaverius)</t>
        </is>
      </c>
      <c r="B83" s="2" t="inlineStr">
        <is>
          <t>Singel 448, Amsterdam</t>
        </is>
      </c>
      <c r="C83" s="2" t="inlineStr">
        <is>
          <t>Sun various</t>
        </is>
      </c>
      <c r="D83" s="2" t="inlineStr">
        <is>
          <t>Jesuit church · central canal location</t>
        </is>
      </c>
      <c r="E83" s="2" t="n"/>
      <c r="F83" s="2" t="n"/>
    </row>
    <row r="84" ht="15.75" customHeight="1" s="38">
      <c r="A84" s="2" t="inlineStr">
        <is>
          <t>Begijnhof Chapel</t>
        </is>
      </c>
      <c r="B84" s="2" t="inlineStr">
        <is>
          <t>Begijnhof 30, Amsterdam</t>
        </is>
      </c>
      <c r="C84" s="2" t="inlineStr">
        <is>
          <t>Sun various</t>
        </is>
      </c>
      <c r="D84" s="2" t="inlineStr">
        <is>
          <t>Hidden chapel in famous courtyard</t>
        </is>
      </c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8" min="1" max="1"/>
    <col width="38" customWidth="1" style="38" min="2" max="2"/>
    <col width="10" customWidth="1" style="38" min="3" max="3"/>
    <col width="50" customWidth="1" style="38" min="4" max="4"/>
    <col width="26" customWidth="1" style="38" min="5" max="5"/>
    <col width="8.710000000000001" customWidth="1" style="38" min="6" max="6"/>
  </cols>
  <sheetData>
    <row r="1" ht="24" customHeight="1" s="38">
      <c r="A1" s="1" t="inlineStr">
        <is>
          <t>Transit — every journey</t>
        </is>
      </c>
      <c r="F1" s="2" t="n"/>
    </row>
    <row r="2" ht="18" customHeight="1" s="38">
      <c r="A2" s="3" t="inlineStr">
        <is>
          <t>Modes · times with traffic buffer · departure cues</t>
        </is>
      </c>
      <c r="F2" s="2" t="n"/>
    </row>
    <row r="3">
      <c r="A3" s="2" t="n"/>
      <c r="B3" s="2" t="n"/>
      <c r="C3" s="2" t="n"/>
      <c r="D3" s="2" t="n"/>
      <c r="E3" s="2" t="n"/>
      <c r="F3" s="2" t="n"/>
    </row>
    <row r="4" ht="15" customHeight="1" s="38">
      <c r="A4" s="4" t="inlineStr">
        <is>
          <t>Date</t>
        </is>
      </c>
      <c r="B4" s="4" t="inlineStr">
        <is>
          <t>Leg</t>
        </is>
      </c>
      <c r="C4" s="4" t="inlineStr">
        <is>
          <t>Mode</t>
        </is>
      </c>
      <c r="D4" s="4" t="inlineStr">
        <is>
          <t>Time</t>
        </is>
      </c>
      <c r="E4" s="4" t="inlineStr">
        <is>
          <t>Start</t>
        </is>
      </c>
      <c r="F4" s="2" t="n"/>
    </row>
    <row r="5" ht="15" customHeight="1" s="38">
      <c r="A5" s="6" t="inlineStr">
        <is>
          <t>Thu 9 Jul</t>
        </is>
      </c>
      <c r="B5" s="6" t="inlineStr">
        <is>
          <t>Auckland → Beijing CA784</t>
        </is>
      </c>
      <c r="C5" s="6" t="inlineStr">
        <is>
          <t>✈</t>
        </is>
      </c>
      <c r="D5" s="6" t="inlineStr">
        <is>
          <t>Dep 19:30 → Arr 04:40 Fri 10 Jul</t>
        </is>
      </c>
      <c r="E5" s="6" t="inlineStr">
        <is>
          <t>—</t>
        </is>
      </c>
      <c r="F5" s="2" t="n"/>
    </row>
    <row r="6" ht="15" customHeight="1" s="38">
      <c r="A6" s="6" t="inlineStr">
        <is>
          <t>Sat 11 Jul</t>
        </is>
      </c>
      <c r="B6" s="6" t="inlineStr">
        <is>
          <t>Beijing → Munich CA961</t>
        </is>
      </c>
      <c r="C6" s="6" t="inlineStr">
        <is>
          <t>✈</t>
        </is>
      </c>
      <c r="D6" s="6" t="inlineStr">
        <is>
          <t>Dep 02:50 → Arr 07:05</t>
        </is>
      </c>
      <c r="E6" s="6" t="inlineStr">
        <is>
          <t>Collect car ~09:00</t>
        </is>
      </c>
      <c r="F6" s="2" t="n"/>
    </row>
    <row r="7" ht="15" customHeight="1" s="38">
      <c r="A7" s="6" t="inlineStr">
        <is>
          <t>Sat 11 Jul</t>
        </is>
      </c>
      <c r="B7" s="6" t="inlineStr">
        <is>
          <t>Munich Airport → Burg Altpernstein, Austria</t>
        </is>
      </c>
      <c r="C7" s="6" t="inlineStr">
        <is>
          <t>🚗</t>
        </is>
      </c>
      <c r="D7" s="6" t="inlineStr">
        <is>
          <t>~290 km · ~3 hrs</t>
        </is>
      </c>
      <c r="E7" s="6" t="inlineStr">
        <is>
          <t>~10:00 (after car pickup)</t>
        </is>
      </c>
      <c r="F7" s="2" t="n"/>
    </row>
    <row r="8" ht="15" customHeight="1" s="38">
      <c r="A8" s="9" t="inlineStr">
        <is>
          <t>Mon 13 Jul</t>
        </is>
      </c>
      <c r="B8" s="9" t="inlineStr">
        <is>
          <t>Burg Altpernstein → Prague</t>
        </is>
      </c>
      <c r="C8" s="9" t="inlineStr">
        <is>
          <t>🚗</t>
        </is>
      </c>
      <c r="D8" s="9" t="inlineStr">
        <is>
          <t>~430 km · 4.5–5 hrs</t>
        </is>
      </c>
      <c r="E8" s="9" t="inlineStr">
        <is>
          <t>08:00</t>
        </is>
      </c>
      <c r="F8" s="2" t="n"/>
    </row>
    <row r="9" ht="15" customHeight="1" s="38">
      <c r="A9" s="6" t="inlineStr">
        <is>
          <t>Wed 15 Jul</t>
        </is>
      </c>
      <c r="B9" s="6" t="inlineStr">
        <is>
          <t>Prague → Vienna</t>
        </is>
      </c>
      <c r="C9" s="6" t="inlineStr">
        <is>
          <t>🚗</t>
        </is>
      </c>
      <c r="D9" s="6" t="inlineStr">
        <is>
          <t>~320 km · 3.5–4 hrs</t>
        </is>
      </c>
      <c r="E9" s="6" t="inlineStr">
        <is>
          <t>11:00 (after castle)</t>
        </is>
      </c>
      <c r="F9" s="2" t="n"/>
    </row>
    <row r="10" ht="15" customHeight="1" s="38">
      <c r="A10" s="6" t="inlineStr">
        <is>
          <t>Thu 16 Jul</t>
        </is>
      </c>
      <c r="B10" s="6" t="inlineStr">
        <is>
          <t>Vienna → Budapest</t>
        </is>
      </c>
      <c r="C10" s="6" t="inlineStr">
        <is>
          <t>🚗</t>
        </is>
      </c>
      <c r="D10" s="6" t="inlineStr">
        <is>
          <t>~270 km · 2.5–3.5 hrs + border</t>
        </is>
      </c>
      <c r="E10" s="6" t="inlineStr">
        <is>
          <t>10:00</t>
        </is>
      </c>
      <c r="F10" s="2" t="n"/>
    </row>
    <row r="11" ht="15" customHeight="1" s="38">
      <c r="A11" s="9" t="inlineStr">
        <is>
          <t>Fri 17 Jul</t>
        </is>
      </c>
      <c r="B11" s="9" t="inlineStr">
        <is>
          <t>Budapest → Bled stop → Venice</t>
        </is>
      </c>
      <c r="C11" s="9" t="inlineStr">
        <is>
          <t>🚗</t>
        </is>
      </c>
      <c r="D11" s="9" t="inlineStr">
        <is>
          <t>~530 km · 8–9 hrs</t>
        </is>
      </c>
      <c r="E11" s="9" t="inlineStr">
        <is>
          <t>07:30</t>
        </is>
      </c>
      <c r="F11" s="2" t="n"/>
    </row>
    <row r="12" ht="15" customHeight="1" s="38">
      <c r="A12" s="6" t="inlineStr">
        <is>
          <t>Sun 19 Jul</t>
        </is>
      </c>
      <c r="B12" s="6" t="inlineStr">
        <is>
          <t>Venice → Florence</t>
        </is>
      </c>
      <c r="C12" s="6" t="inlineStr">
        <is>
          <t>🚗</t>
        </is>
      </c>
      <c r="D12" s="6" t="inlineStr">
        <is>
          <t>~270 km · 3–3.5 hrs</t>
        </is>
      </c>
      <c r="E12" s="6" t="inlineStr">
        <is>
          <t>10:00</t>
        </is>
      </c>
      <c r="F12" s="2" t="n"/>
    </row>
    <row r="13" ht="15" customHeight="1" s="38">
      <c r="A13" s="6" t="inlineStr">
        <is>
          <t>Mon 20 Jul</t>
        </is>
      </c>
      <c r="B13" s="6" t="inlineStr">
        <is>
          <t>Florence → Pisa stop → Rome</t>
        </is>
      </c>
      <c r="C13" s="6" t="inlineStr">
        <is>
          <t>🚗</t>
        </is>
      </c>
      <c r="D13" s="6" t="inlineStr">
        <is>
          <t>~420 km · 5–6 hrs</t>
        </is>
      </c>
      <c r="E13" s="6" t="inlineStr">
        <is>
          <t>09:30 (after Uffizi)</t>
        </is>
      </c>
      <c r="F13" s="2" t="n"/>
    </row>
    <row r="14" ht="15" customHeight="1" s="38">
      <c r="A14" s="9" t="inlineStr">
        <is>
          <t>Tue 21 Jul</t>
        </is>
      </c>
      <c r="B14" s="9" t="inlineStr">
        <is>
          <t>Rome → Pompeii → Naples → Rome</t>
        </is>
      </c>
      <c r="C14" s="9" t="inlineStr">
        <is>
          <t>🚗</t>
        </is>
      </c>
      <c r="D14" s="9" t="inlineStr">
        <is>
          <t>~460 km round · 8–9 hrs</t>
        </is>
      </c>
      <c r="E14" s="9" t="inlineStr">
        <is>
          <t>08:00 · back by 18:00</t>
        </is>
      </c>
      <c r="F14" s="2" t="n"/>
    </row>
    <row r="15" ht="15" customHeight="1" s="38">
      <c r="A15" s="9" t="inlineStr">
        <is>
          <t>Thu 23 Jul</t>
        </is>
      </c>
      <c r="B15" s="9" t="inlineStr">
        <is>
          <t>Rome → Florence stop → Milan</t>
        </is>
      </c>
      <c r="C15" s="9" t="inlineStr">
        <is>
          <t>🚗</t>
        </is>
      </c>
      <c r="D15" s="9" t="inlineStr">
        <is>
          <t>~580 km · 6.5–7.5 hrs</t>
        </is>
      </c>
      <c r="E15" s="9" t="inlineStr">
        <is>
          <t>07:30</t>
        </is>
      </c>
      <c r="F15" s="2" t="n"/>
    </row>
    <row r="16" ht="15" customHeight="1" s="38">
      <c r="A16" s="6" t="inlineStr">
        <is>
          <t>Fri 24 Jul</t>
        </is>
      </c>
      <c r="B16" s="6" t="inlineStr">
        <is>
          <t>Milan → Stalden (Valais) via Simplon</t>
        </is>
      </c>
      <c r="C16" s="6" t="inlineStr">
        <is>
          <t>🚗</t>
        </is>
      </c>
      <c r="D16" s="6" t="inlineStr">
        <is>
          <t>~290 km · 3.5–4 hrs</t>
        </is>
      </c>
      <c r="E16" s="6" t="inlineStr">
        <is>
          <t>14:30 from Milan (after Duomo morning)</t>
        </is>
      </c>
      <c r="F16" s="2" t="n"/>
    </row>
    <row r="17" ht="15" customHeight="1" s="38">
      <c r="A17" s="6" t="inlineStr">
        <is>
          <t>Sat 25 Jul</t>
        </is>
      </c>
      <c r="B17" s="6" t="inlineStr">
        <is>
          <t>Stalden ↔ Zermatt (train, Gornergrat) → Moléson</t>
        </is>
      </c>
      <c r="C17" s="6" t="inlineStr">
        <is>
          <t>🚆 + 🚗</t>
        </is>
      </c>
      <c r="D17" s="6" t="inlineStr">
        <is>
          <t>Train 30min × 2 · drive ~190 km · 2.5–3 hrs</t>
        </is>
      </c>
      <c r="E17" s="6" t="inlineStr">
        <is>
          <t>07:00 train · 13:00 drive</t>
        </is>
      </c>
      <c r="F17" s="2" t="n"/>
    </row>
    <row r="18" ht="15" customHeight="1" s="38">
      <c r="A18" s="6" t="inlineStr">
        <is>
          <t>Mon 27 Jul</t>
        </is>
      </c>
      <c r="B18" s="6" t="inlineStr">
        <is>
          <t>Moléson → Bern stop → Ottobeuren</t>
        </is>
      </c>
      <c r="C18" s="6" t="inlineStr">
        <is>
          <t>🚗</t>
        </is>
      </c>
      <c r="D18" s="6" t="inlineStr">
        <is>
          <t>~480 km · 5h drive + 3hr Bern stop</t>
        </is>
      </c>
      <c r="E18" s="6" t="inlineStr">
        <is>
          <t>08:00 leave Moléson</t>
        </is>
      </c>
      <c r="F18" s="2" t="n"/>
    </row>
    <row r="19" ht="15" customHeight="1" s="38">
      <c r="A19" s="9" t="inlineStr">
        <is>
          <t>Tue 28 Jul</t>
        </is>
      </c>
      <c r="B19" s="9" t="inlineStr">
        <is>
          <t>Ottobeuren → MUC drop · KLM via AMS → TLS · drive Lourdes</t>
        </is>
      </c>
      <c r="C19" s="9" t="inlineStr">
        <is>
          <t>🚗+✈+🚗</t>
        </is>
      </c>
      <c r="D19" s="9" t="inlineStr">
        <is>
          <t>145 km + 4h25m flight + 150 km</t>
        </is>
      </c>
      <c r="E19" s="9" t="inlineStr">
        <is>
          <t>09:00 from Ottobeuren</t>
        </is>
      </c>
      <c r="F19" s="2" t="n"/>
    </row>
    <row r="20" ht="15" customHeight="1" s="38">
      <c r="A20" s="9" t="inlineStr">
        <is>
          <t>Wed 29 Jul</t>
        </is>
      </c>
      <c r="B20" s="9" t="inlineStr">
        <is>
          <t>Lourdes → TLS drop (Avis) · Tram T2 → Matabiau · 10:20 TGV 8508 → Paris Montparnasse 14:55</t>
        </is>
      </c>
      <c r="C20" s="9" t="inlineStr">
        <is>
          <t>🚗+🚋+🚆</t>
        </is>
      </c>
      <c r="D20" s="9" t="inlineStr">
        <is>
          <t>150 km drive + Tram 35min + TGV 4h35m (Booking Z272DK)</t>
        </is>
      </c>
      <c r="E20" s="9" t="inlineStr">
        <is>
          <t>07:30 from Lourdes</t>
        </is>
      </c>
      <c r="F20" s="2" t="inlineStr">
        <is>
          <t>📎 TGV tickets</t>
        </is>
      </c>
    </row>
    <row r="21" ht="26.25" customHeight="1" s="38">
      <c r="A21" s="9" t="inlineStr">
        <is>
          <t>Thu 30 Jul</t>
        </is>
      </c>
      <c r="B21" s="9" t="inlineStr">
        <is>
          <t>Paris Gare du Nord → Amsterdam Schiphol via Eurostar 9387 (evening)</t>
        </is>
      </c>
      <c r="C21" s="9" t="inlineStr">
        <is>
          <t>🚆 Eurostar</t>
        </is>
      </c>
      <c r="D21" s="9" t="inlineStr">
        <is>
          <t>3h 11m · 20:22 → 23:33 · Coach 13 · Seats 72-76</t>
        </is>
      </c>
      <c r="E21" s="9" t="inlineStr">
        <is>
          <t>19:30 leave hotel for Gare du Nord</t>
        </is>
      </c>
      <c r="F21" s="2" t="inlineStr">
        <is>
          <t>📎 Eurostar tickets: https://drive.google.com/drive/u/0/folders/1ok8hTVTeOR1W4Ze3zHlGVyOAVEZQjL32</t>
        </is>
      </c>
    </row>
    <row r="22" ht="15" customHeight="1" s="38">
      <c r="A22" s="6" t="inlineStr">
        <is>
          <t>Fri 31 Jul</t>
        </is>
      </c>
      <c r="B22" s="6" t="inlineStr">
        <is>
          <t>Amsterdam local (no transit) · Anne Frank + canals + Vondelpark</t>
        </is>
      </c>
      <c r="C22" s="6" t="inlineStr">
        <is>
          <t>—</t>
        </is>
      </c>
      <c r="D22" s="6" t="inlineStr">
        <is>
          <t>foot + tram + bike</t>
        </is>
      </c>
      <c r="E22" s="6" t="inlineStr">
        <is>
          <t>Slow morning</t>
        </is>
      </c>
      <c r="F22" s="2" t="n"/>
    </row>
    <row r="23" ht="15" customHeight="1" s="38">
      <c r="A23" s="6" t="inlineStr">
        <is>
          <t>Sat 1 Aug</t>
        </is>
      </c>
      <c r="B23" s="6" t="inlineStr">
        <is>
          <t>Amsterdam REST DAY (no travel) · Sat Vigil at Sint-Nicolaaskerk</t>
        </is>
      </c>
      <c r="C23" s="6" t="inlineStr">
        <is>
          <t>— rest</t>
        </is>
      </c>
      <c r="D23" s="6" t="inlineStr">
        <is>
          <t>— local foot/tram only</t>
        </is>
      </c>
      <c r="E23" s="6" t="inlineStr">
        <is>
          <t>Slow morning</t>
        </is>
      </c>
      <c r="F23" s="2" t="n"/>
    </row>
    <row r="24" ht="15" customHeight="1" s="38">
      <c r="A24" s="6" t="inlineStr">
        <is>
          <t>Sun 2 Aug</t>
        </is>
      </c>
      <c r="B24" s="6" t="inlineStr">
        <is>
          <t>AMS → fly KLM AMS→CPH</t>
        </is>
      </c>
      <c r="C24" s="6" t="inlineStr">
        <is>
          <t>✈</t>
        </is>
      </c>
      <c r="D24" s="6" t="inlineStr">
        <is>
          <t>~1h 25min</t>
        </is>
      </c>
      <c r="E24" s="6" t="inlineStr">
        <is>
          <t>17:00 to airport</t>
        </is>
      </c>
      <c r="F24" s="2" t="n"/>
    </row>
    <row r="25" ht="26.25" customHeight="1" s="38">
      <c r="A25" s="9" t="inlineStr">
        <is>
          <t>Mon 3 Aug</t>
        </is>
      </c>
      <c r="B25" s="9" t="inlineStr">
        <is>
          <t>CPH → Gothenburg X2000 (Öresund Bridge)</t>
        </is>
      </c>
      <c r="C25" s="9" t="inlineStr">
        <is>
          <t>🚆</t>
        </is>
      </c>
      <c r="D25" s="9" t="inlineStr">
        <is>
          <t>~3h 40min</t>
        </is>
      </c>
      <c r="E25" s="9" t="inlineStr">
        <is>
          <t>13:00 from CPH Central</t>
        </is>
      </c>
      <c r="F25" s="2" t="n"/>
    </row>
    <row r="26" ht="15" customHeight="1" s="38">
      <c r="A26" s="6" t="inlineStr">
        <is>
          <t>Thu 6 Aug</t>
        </is>
      </c>
      <c r="B26" s="6" t="inlineStr">
        <is>
          <t>Munich → Beijing CA962</t>
        </is>
      </c>
      <c r="C26" s="6" t="inlineStr">
        <is>
          <t>✈</t>
        </is>
      </c>
      <c r="D26" s="6" t="inlineStr">
        <is>
          <t>Dep 13:00 → Arr 04:45 Fri 7 Aug</t>
        </is>
      </c>
      <c r="E26" s="6" t="inlineStr">
        <is>
          <t>MUC T2 check-in 10:30</t>
        </is>
      </c>
      <c r="F26" s="2" t="n"/>
    </row>
    <row r="27" ht="15" customHeight="1" s="38">
      <c r="A27" s="6" t="inlineStr">
        <is>
          <t>Sat 8 Aug</t>
        </is>
      </c>
      <c r="B27" s="6" t="inlineStr">
        <is>
          <t>Beijing → Auckland CA783</t>
        </is>
      </c>
      <c r="C27" s="6" t="inlineStr">
        <is>
          <t>✈</t>
        </is>
      </c>
      <c r="D27" s="6" t="inlineStr">
        <is>
          <t>Dep 00:05 → Arr 16:30</t>
        </is>
      </c>
      <c r="E27" s="6" t="inlineStr">
        <is>
          <t>—</t>
        </is>
      </c>
      <c r="F27" s="2" t="n"/>
    </row>
    <row r="28" ht="15.75" customHeight="1" s="38">
      <c r="A28" s="2" t="n"/>
      <c r="B28" s="2" t="n"/>
      <c r="C28" s="2" t="n"/>
      <c r="D28" s="2" t="n"/>
      <c r="E28" s="2" t="n"/>
      <c r="F28" s="2" t="n"/>
    </row>
    <row r="29" ht="15.75" customHeight="1" s="38">
      <c r="A29" s="2" t="n"/>
      <c r="B29" s="2" t="n"/>
      <c r="C29" s="2" t="n"/>
      <c r="D29" s="2" t="n"/>
      <c r="E29" s="2" t="n"/>
      <c r="F29" s="2" t="n"/>
    </row>
    <row r="30" ht="15.75" customHeight="1" s="38">
      <c r="A30" s="2" t="n"/>
      <c r="B30" s="2" t="n"/>
      <c r="C30" s="2" t="n"/>
      <c r="D30" s="2" t="n"/>
      <c r="E30" s="2" t="n"/>
      <c r="F30" s="2" t="n"/>
    </row>
    <row r="31" ht="15.75" customHeight="1" s="38">
      <c r="A31" s="2" t="n"/>
      <c r="B31" s="2" t="n"/>
      <c r="C31" s="2" t="n"/>
      <c r="D31" s="2" t="n"/>
      <c r="E31" s="2" t="n"/>
      <c r="F31" s="2" t="n"/>
    </row>
    <row r="32" ht="15.75" customHeight="1" s="38">
      <c r="A32" s="2" t="n"/>
      <c r="B32" s="2" t="n"/>
      <c r="C32" s="2" t="n"/>
      <c r="D32" s="2" t="n"/>
      <c r="E32" s="2" t="n"/>
      <c r="F32" s="2" t="n"/>
    </row>
    <row r="33" ht="15.75" customHeight="1" s="38">
      <c r="A33" s="2" t="n"/>
      <c r="B33" s="2" t="n"/>
      <c r="C33" s="2" t="n"/>
      <c r="D33" s="2" t="n"/>
      <c r="E33" s="2" t="n"/>
      <c r="F33" s="2" t="n"/>
    </row>
    <row r="34" ht="15.75" customHeight="1" s="38">
      <c r="A34" s="2" t="n"/>
      <c r="B34" s="2" t="n"/>
      <c r="C34" s="2" t="n"/>
      <c r="D34" s="2" t="n"/>
      <c r="E34" s="2" t="n"/>
      <c r="F34" s="2" t="n"/>
    </row>
    <row r="35" ht="15.75" customHeight="1" s="38">
      <c r="A35" s="2" t="n"/>
      <c r="B35" s="2" t="n"/>
      <c r="C35" s="2" t="n"/>
      <c r="D35" s="2" t="n"/>
      <c r="E35" s="2" t="n"/>
      <c r="F35" s="2" t="n"/>
    </row>
    <row r="36" ht="15.75" customHeight="1" s="38">
      <c r="A36" s="2" t="n"/>
      <c r="B36" s="2" t="n"/>
      <c r="C36" s="2" t="n"/>
      <c r="D36" s="2" t="n"/>
      <c r="E36" s="2" t="n"/>
      <c r="F36" s="2" t="n"/>
    </row>
    <row r="37" ht="15.75" customHeight="1" s="38">
      <c r="A37" s="2" t="n"/>
      <c r="B37" s="2" t="n"/>
      <c r="C37" s="2" t="n"/>
      <c r="D37" s="2" t="n"/>
      <c r="E37" s="2" t="n"/>
      <c r="F37" s="2" t="n"/>
    </row>
    <row r="38" ht="15.75" customHeight="1" s="38">
      <c r="A38" s="2" t="n"/>
      <c r="B38" s="2" t="n"/>
      <c r="C38" s="2" t="n"/>
      <c r="D38" s="2" t="n"/>
      <c r="E38" s="2" t="n"/>
      <c r="F38" s="2" t="n"/>
    </row>
    <row r="39" ht="15.75" customHeight="1" s="38">
      <c r="A39" s="2" t="n"/>
      <c r="B39" s="2" t="n"/>
      <c r="C39" s="2" t="n"/>
      <c r="D39" s="2" t="n"/>
      <c r="E39" s="2" t="n"/>
      <c r="F39" s="2" t="n"/>
    </row>
    <row r="40" ht="15.75" customHeight="1" s="38">
      <c r="A40" s="2" t="n"/>
      <c r="B40" s="2" t="n"/>
      <c r="C40" s="2" t="n"/>
      <c r="D40" s="2" t="n"/>
      <c r="E40" s="2" t="n"/>
      <c r="F40" s="2" t="n"/>
    </row>
    <row r="41" ht="15.75" customHeight="1" s="38">
      <c r="A41" s="2" t="n"/>
      <c r="B41" s="2" t="n"/>
      <c r="C41" s="2" t="n"/>
      <c r="D41" s="2" t="n"/>
      <c r="E41" s="2" t="n"/>
      <c r="F41" s="2" t="n"/>
    </row>
    <row r="42" ht="15.75" customHeight="1" s="38">
      <c r="A42" s="2" t="n"/>
      <c r="B42" s="2" t="n"/>
      <c r="C42" s="2" t="n"/>
      <c r="D42" s="2" t="n"/>
      <c r="E42" s="2" t="n"/>
      <c r="F42" s="2" t="n"/>
    </row>
    <row r="43" ht="15.75" customHeight="1" s="38">
      <c r="A43" s="2" t="n"/>
      <c r="B43" s="2" t="n"/>
      <c r="C43" s="2" t="n"/>
      <c r="D43" s="2" t="n"/>
      <c r="E43" s="2" t="n"/>
      <c r="F43" s="2" t="n"/>
    </row>
    <row r="44" ht="15.75" customHeight="1" s="38">
      <c r="A44" s="2" t="n"/>
      <c r="B44" s="2" t="n"/>
      <c r="C44" s="2" t="n"/>
      <c r="D44" s="2" t="n"/>
      <c r="E44" s="2" t="n"/>
      <c r="F44" s="2" t="n"/>
    </row>
    <row r="45" ht="15.75" customHeight="1" s="38">
      <c r="A45" s="2" t="n"/>
      <c r="B45" s="2" t="n"/>
      <c r="C45" s="2" t="n"/>
      <c r="D45" s="2" t="n"/>
      <c r="E45" s="2" t="n"/>
      <c r="F45" s="2" t="n"/>
    </row>
    <row r="46" ht="15.75" customHeight="1" s="38">
      <c r="A46" s="2" t="n"/>
      <c r="B46" s="2" t="n"/>
      <c r="C46" s="2" t="n"/>
      <c r="D46" s="2" t="n"/>
      <c r="E46" s="2" t="n"/>
      <c r="F46" s="2" t="n"/>
    </row>
    <row r="47" ht="15.75" customHeight="1" s="38">
      <c r="A47" s="2" t="n"/>
      <c r="B47" s="2" t="n"/>
      <c r="C47" s="2" t="n"/>
      <c r="D47" s="2" t="n"/>
      <c r="E47" s="2" t="n"/>
      <c r="F47" s="2" t="n"/>
    </row>
    <row r="48" ht="15.75" customHeight="1" s="38">
      <c r="A48" s="2" t="n"/>
      <c r="B48" s="2" t="n"/>
      <c r="C48" s="2" t="n"/>
      <c r="D48" s="2" t="n"/>
      <c r="E48" s="2" t="n"/>
      <c r="F48" s="2" t="n"/>
    </row>
    <row r="49" ht="15.75" customHeight="1" s="38">
      <c r="A49" s="2" t="n"/>
      <c r="B49" s="2" t="n"/>
      <c r="C49" s="2" t="n"/>
      <c r="D49" s="2" t="n"/>
      <c r="E49" s="2" t="n"/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n"/>
      <c r="B52" s="2" t="n"/>
      <c r="C52" s="2" t="n"/>
      <c r="D52" s="2" t="n"/>
      <c r="E52" s="2" t="n"/>
      <c r="F52" s="2" t="n"/>
    </row>
    <row r="53" ht="15.75" customHeight="1" s="38">
      <c r="A53" s="2" t="n"/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n"/>
      <c r="B55" s="2" t="n"/>
      <c r="C55" s="2" t="n"/>
      <c r="D55" s="2" t="n"/>
      <c r="E55" s="2" t="n"/>
      <c r="F55" s="2" t="n"/>
    </row>
    <row r="56" ht="15.75" customHeight="1" s="38">
      <c r="A56" s="2" t="n"/>
      <c r="B56" s="2" t="n"/>
      <c r="C56" s="2" t="n"/>
      <c r="D56" s="2" t="n"/>
      <c r="E56" s="2" t="n"/>
      <c r="F56" s="2" t="n"/>
    </row>
    <row r="57" ht="15.75" customHeight="1" s="38">
      <c r="A57" s="2" t="n"/>
      <c r="B57" s="2" t="n"/>
      <c r="C57" s="2" t="n"/>
      <c r="D57" s="2" t="n"/>
      <c r="E57" s="2" t="n"/>
      <c r="F57" s="2" t="n"/>
    </row>
    <row r="58" ht="15.75" customHeight="1" s="38">
      <c r="A58" s="2" t="n"/>
      <c r="B58" s="2" t="n"/>
      <c r="C58" s="2" t="n"/>
      <c r="D58" s="2" t="n"/>
      <c r="E58" s="2" t="n"/>
      <c r="F58" s="2" t="n"/>
    </row>
    <row r="59" ht="15.75" customHeight="1" s="38">
      <c r="A59" s="2" t="n"/>
      <c r="B59" s="2" t="n"/>
      <c r="C59" s="2" t="n"/>
      <c r="D59" s="2" t="n"/>
      <c r="E59" s="2" t="n"/>
      <c r="F59" s="2" t="n"/>
    </row>
    <row r="60" ht="15.75" customHeight="1" s="38">
      <c r="A60" s="2" t="n"/>
      <c r="B60" s="2" t="n"/>
      <c r="C60" s="2" t="n"/>
      <c r="D60" s="2" t="n"/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n"/>
      <c r="B62" s="2" t="n"/>
      <c r="C62" s="2" t="n"/>
      <c r="D62" s="2" t="n"/>
      <c r="E62" s="2" t="n"/>
      <c r="F62" s="2" t="n"/>
    </row>
    <row r="63" ht="15.75" customHeight="1" s="38">
      <c r="A63" s="2" t="n"/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n"/>
      <c r="B65" s="2" t="n"/>
      <c r="C65" s="2" t="n"/>
      <c r="D65" s="2" t="n"/>
      <c r="E65" s="2" t="n"/>
      <c r="F65" s="2" t="n"/>
    </row>
    <row r="66" ht="15.75" customHeight="1" s="38">
      <c r="A66" s="2" t="n"/>
      <c r="B66" s="2" t="n"/>
      <c r="C66" s="2" t="n"/>
      <c r="D66" s="2" t="n"/>
      <c r="E66" s="2" t="n"/>
      <c r="F66" s="2" t="n"/>
    </row>
    <row r="67" ht="15.75" customHeight="1" s="38">
      <c r="A67" s="2" t="n"/>
      <c r="B67" s="2" t="n"/>
      <c r="C67" s="2" t="n"/>
      <c r="D67" s="2" t="n"/>
      <c r="E67" s="2" t="n"/>
      <c r="F67" s="2" t="n"/>
    </row>
    <row r="68" ht="15.75" customHeight="1" s="38">
      <c r="A68" s="2" t="n"/>
      <c r="B68" s="2" t="n"/>
      <c r="C68" s="2" t="n"/>
      <c r="D68" s="2" t="n"/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n"/>
      <c r="B70" s="2" t="n"/>
      <c r="C70" s="2" t="n"/>
      <c r="D70" s="2" t="n"/>
      <c r="E70" s="2" t="n"/>
      <c r="F70" s="2" t="n"/>
    </row>
    <row r="71" ht="15.75" customHeight="1" s="38">
      <c r="A71" s="2" t="n"/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n"/>
      <c r="B73" s="2" t="n"/>
      <c r="C73" s="2" t="n"/>
      <c r="D73" s="2" t="n"/>
      <c r="E73" s="2" t="n"/>
      <c r="F73" s="2" t="n"/>
    </row>
    <row r="74" ht="15.75" customHeight="1" s="38">
      <c r="A74" s="2" t="n"/>
      <c r="B74" s="2" t="n"/>
      <c r="C74" s="2" t="n"/>
      <c r="D74" s="2" t="n"/>
      <c r="E74" s="2" t="n"/>
      <c r="F74" s="2" t="n"/>
    </row>
    <row r="75" ht="15.75" customHeight="1" s="38">
      <c r="A75" s="2" t="n"/>
      <c r="B75" s="2" t="n"/>
      <c r="C75" s="2" t="n"/>
      <c r="D75" s="2" t="n"/>
      <c r="E75" s="2" t="n"/>
      <c r="F75" s="2" t="n"/>
    </row>
    <row r="76" ht="15.75" customHeight="1" s="38">
      <c r="A76" s="2" t="n"/>
      <c r="B76" s="2" t="n"/>
      <c r="C76" s="2" t="n"/>
      <c r="D76" s="2" t="n"/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n"/>
      <c r="B78" s="2" t="n"/>
      <c r="C78" s="2" t="n"/>
      <c r="D78" s="2" t="n"/>
      <c r="E78" s="2" t="n"/>
      <c r="F78" s="2" t="n"/>
    </row>
    <row r="79" ht="15.75" customHeight="1" s="38">
      <c r="A79" s="2" t="n"/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n"/>
      <c r="B81" s="2" t="n"/>
      <c r="C81" s="2" t="n"/>
      <c r="D81" s="2" t="n"/>
      <c r="E81" s="2" t="n"/>
      <c r="F81" s="2" t="n"/>
    </row>
    <row r="82" ht="15.75" customHeight="1" s="38">
      <c r="A82" s="2" t="n"/>
      <c r="B82" s="2" t="n"/>
      <c r="C82" s="2" t="n"/>
      <c r="D82" s="2" t="n"/>
      <c r="E82" s="2" t="n"/>
      <c r="F82" s="2" t="n"/>
    </row>
    <row r="83" ht="15.75" customHeight="1" s="38">
      <c r="A83" s="2" t="n"/>
      <c r="B83" s="2" t="n"/>
      <c r="C83" s="2" t="n"/>
      <c r="D83" s="2" t="n"/>
      <c r="E83" s="2" t="n"/>
      <c r="F83" s="2" t="n"/>
    </row>
    <row r="84" ht="15.75" customHeight="1" s="38">
      <c r="A84" s="2" t="n"/>
      <c r="B84" s="2" t="n"/>
      <c r="C84" s="2" t="n"/>
      <c r="D84" s="2" t="n"/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mergeCells count="2">
    <mergeCell ref="A2:E2"/>
    <mergeCell ref="A1:E1"/>
  </mergeCells>
  <hyperlinks>
    <hyperlink xmlns:r="http://schemas.openxmlformats.org/officeDocument/2006/relationships" ref="F20" display="📎 TGV tickets" r:id="rId1"/>
    <hyperlink xmlns:r="http://schemas.openxmlformats.org/officeDocument/2006/relationships" ref="F21" display="📎 Eurostar tickets" r:id="rId2"/>
  </hyperlink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8" min="1" max="1"/>
    <col width="38" customWidth="1" style="38" min="2" max="2"/>
    <col width="28" customWidth="1" style="38" min="3" max="3"/>
    <col width="60" customWidth="1" style="38" min="4" max="4"/>
    <col width="12" customWidth="1" style="38" min="5" max="5"/>
    <col width="8.710000000000001" customWidth="1" style="38" min="6" max="6"/>
  </cols>
  <sheetData>
    <row r="1" ht="24" customHeight="1" s="38">
      <c r="A1" s="1" t="inlineStr">
        <is>
          <t>Booking priority list</t>
        </is>
      </c>
      <c r="F1" s="2" t="n"/>
    </row>
    <row r="2" ht="18" customHeight="1" s="38">
      <c r="A2" s="3" t="inlineStr">
        <is>
          <t>Book in this order · checkbox column for tracking</t>
        </is>
      </c>
      <c r="F2" s="2" t="n"/>
    </row>
    <row r="3">
      <c r="A3" s="2" t="n"/>
      <c r="B3" s="2" t="n"/>
      <c r="C3" s="2" t="n"/>
      <c r="D3" s="2" t="n"/>
      <c r="E3" s="2" t="n"/>
      <c r="F3" s="2" t="n"/>
    </row>
    <row r="4" ht="15" customHeight="1" s="38">
      <c r="A4" s="4" t="inlineStr">
        <is>
          <t>#</t>
        </is>
      </c>
      <c r="B4" s="4" t="inlineStr">
        <is>
          <t>Item</t>
        </is>
      </c>
      <c r="C4" s="4" t="inlineStr">
        <is>
          <t>Where</t>
        </is>
      </c>
      <c r="D4" s="4" t="inlineStr">
        <is>
          <t>Notes</t>
        </is>
      </c>
      <c r="E4" s="4" t="inlineStr">
        <is>
          <t>Booked?</t>
        </is>
      </c>
      <c r="F4" s="2" t="n"/>
    </row>
    <row r="5" ht="31.5" customHeight="1" s="38">
      <c r="A5" s="9" t="n">
        <v>1</v>
      </c>
      <c r="B5" s="9" t="inlineStr">
        <is>
          <t>GOT→MUC flight · Wed 5 Aug 06:30</t>
        </is>
      </c>
      <c r="C5" s="9" t="inlineStr">
        <is>
          <t>SAS / Norwegian / Ryanair</t>
        </is>
      </c>
      <c r="D5" s="9" t="inlineStr">
        <is>
          <t>Single most critical booking. Must land MUC by 09:00.</t>
        </is>
      </c>
      <c r="E5" s="9" t="n"/>
    </row>
    <row r="6" ht="31.5" customHeight="1" s="38">
      <c r="A6" s="6" t="n">
        <v>2</v>
      </c>
      <c r="B6" s="6" t="inlineStr">
        <is>
          <t>Lourdes TGV (both directions)</t>
        </is>
      </c>
      <c r="C6" s="6" t="inlineStr">
        <is>
          <t>sncf-connect.com</t>
        </is>
      </c>
      <c r="D6" s="6" t="inlineStr">
        <is>
          <t>Paris→Lourdes 29 Jul 08:00. Lourdes→Paris 30 Jul 08:00. July peak fills weeks ahead.</t>
        </is>
      </c>
      <c r="E6" s="6" t="n"/>
      <c r="F6" s="2" t="n"/>
    </row>
    <row r="7" ht="31.5" customHeight="1" s="38">
      <c r="A7" s="6" t="n">
        <v>3</v>
      </c>
      <c r="B7" s="6" t="inlineStr">
        <is>
          <t>Vatican Museums + Sistine Chapel</t>
        </is>
      </c>
      <c r="C7" s="6" t="inlineStr">
        <is>
          <t>museivaticani.va</t>
        </is>
      </c>
      <c r="D7" s="6" t="inlineStr">
        <is>
          <t>Sells out 3–4 weeks ahead in July. Shoulders + knees covered for St. Peter's.</t>
        </is>
      </c>
      <c r="E7" s="6" t="n"/>
      <c r="F7" s="2" t="n"/>
    </row>
    <row r="8" ht="31.5" customHeight="1" s="38">
      <c r="A8" s="6" t="n">
        <v>4</v>
      </c>
      <c r="B8" s="6" t="inlineStr">
        <is>
          <t>Jungfraujoch</t>
        </is>
      </c>
      <c r="C8" s="6" t="inlineStr">
        <is>
          <t>jungfrau.ch</t>
        </is>
      </c>
      <c r="D8" s="6" t="inlineStr">
        <is>
          <t>❌ CANCELLED — itinerary changed (Moléson/Geneva instead of Interlaken)</t>
        </is>
      </c>
      <c r="E8" s="6" t="inlineStr">
        <is>
          <t>—</t>
        </is>
      </c>
      <c r="F8" s="2" t="n"/>
    </row>
    <row r="9" ht="31.5" customHeight="1" s="38">
      <c r="A9" s="6" t="n">
        <v>5</v>
      </c>
      <c r="B9" s="6" t="inlineStr">
        <is>
          <t>Uffizi Gallery</t>
        </is>
      </c>
      <c r="C9" s="6" t="inlineStr">
        <is>
          <t>uffizi.it</t>
        </is>
      </c>
      <c r="D9" s="6" t="inlineStr">
        <is>
          <t>No same-day tickets in July. Book from Auckland.</t>
        </is>
      </c>
      <c r="E9" s="6" t="n"/>
      <c r="F9" s="2" t="n"/>
    </row>
    <row r="10" ht="31.5" customHeight="1" s="38">
      <c r="A10" s="6" t="n">
        <v>6</v>
      </c>
      <c r="B10" s="6" t="inlineStr">
        <is>
          <t>Gornergrat Railway</t>
        </is>
      </c>
      <c r="C10" s="6" t="inlineStr">
        <is>
          <t>gornergrat.ch</t>
        </is>
      </c>
      <c r="D10" s="6" t="inlineStr">
        <is>
          <t>First train 08:00. Book ahead for July.</t>
        </is>
      </c>
      <c r="E10" s="6" t="n"/>
      <c r="F10" s="2" t="n"/>
    </row>
    <row r="11" ht="31.5" customHeight="1" s="38">
      <c r="A11" s="6" t="n">
        <v>7</v>
      </c>
      <c r="B11" s="6" t="inlineStr">
        <is>
          <t>Berlin Reichstag dome</t>
        </is>
      </c>
      <c r="C11" s="6" t="inlineStr">
        <is>
          <t>bundestag.de</t>
        </is>
      </c>
      <c r="D11" s="6" t="inlineStr">
        <is>
          <t>Free but must register 3+ weeks ahead.</t>
        </is>
      </c>
      <c r="E11" s="6" t="n"/>
      <c r="F11" s="2" t="n"/>
    </row>
    <row r="12" ht="31.5" customHeight="1" s="38">
      <c r="A12" s="6" t="n">
        <v>8</v>
      </c>
      <c r="B12" s="6" t="inlineStr">
        <is>
          <t>MUC airport hotel (Wed 5 Aug overnight)</t>
        </is>
      </c>
      <c r="C12" s="6" t="inlineStr">
        <is>
          <t>Hilton Munich Airport (in-airport) / Premier Inn München Flughafen Ost (budget)</t>
        </is>
      </c>
      <c r="D12" s="6" t="inlineStr">
        <is>
          <t>Hilton ~€320 in-airport, 5 min walk T2 · Premier Inn ~€140 family room, free 24/7 shuttle. Book by 30 May 2026.</t>
        </is>
      </c>
      <c r="E12" s="6" t="n"/>
      <c r="F12" s="2" t="n"/>
    </row>
    <row r="13" ht="31.5" customHeight="1" s="38">
      <c r="A13" s="6" t="n">
        <v>9</v>
      </c>
      <c r="B13" s="6" t="inlineStr">
        <is>
          <t>Rental car vignettes</t>
        </is>
      </c>
      <c r="C13" s="6" t="inlineStr">
        <is>
          <t>At first border crossing</t>
        </is>
      </c>
      <c r="D13" s="6" t="inlineStr">
        <is>
          <t>AT, CH, CZ, HU, SI motorway stickers ~€60 total.</t>
        </is>
      </c>
      <c r="E13" s="6" t="n"/>
      <c r="F13" s="2" t="n"/>
    </row>
    <row r="14" ht="31.5" customHeight="1" s="38">
      <c r="A14" s="6" t="n">
        <v>10</v>
      </c>
      <c r="B14" s="6" t="inlineStr">
        <is>
          <t>Thalys Paris→Amsterdam (30 Jul ~14:13)</t>
        </is>
      </c>
      <c r="C14" s="6" t="inlineStr">
        <is>
          <t>thalys.com</t>
        </is>
      </c>
      <c r="D14" s="6" t="inlineStr">
        <is>
          <t>OLD PLAN — superseded by Toulouse Matabiau→Paris→Eurostar→AMS (29 Jul). Disregard.</t>
        </is>
      </c>
      <c r="E14" s="6" t="inlineStr">
        <is>
          <t>— OLD PLAN</t>
        </is>
      </c>
      <c r="F14" s="2" t="n"/>
    </row>
    <row r="15" ht="31.5" customHeight="1" s="38">
      <c r="A15" s="6" t="n">
        <v>11</v>
      </c>
      <c r="B15" s="6" t="inlineStr">
        <is>
          <t>Rental car (Munich pickup, drop)</t>
        </is>
      </c>
      <c r="C15" s="6" t="inlineStr">
        <is>
          <t>sixt.com / hertz.com</t>
        </is>
      </c>
      <c r="D15" s="6" t="inlineStr">
        <is>
          <t>Pick up 11 Jul ~09:00 MUC T2. Drop 28 Jul ~12:00 MUC T2.</t>
        </is>
      </c>
      <c r="E15" s="6" t="n"/>
      <c r="F15" s="2" t="n"/>
    </row>
    <row r="16" ht="31.5" customHeight="1" s="38">
      <c r="A16" s="6" t="n">
        <v>12</v>
      </c>
      <c r="B16" s="6" t="inlineStr">
        <is>
          <t>Hotels — every other city</t>
        </is>
      </c>
      <c r="C16" s="6" t="inlineStr">
        <is>
          <t>booking.com</t>
        </is>
      </c>
      <c r="D16" s="6" t="inlineStr">
        <is>
          <t>24 separate bookings (some shared multi-night). Build list once flights confirmed.</t>
        </is>
      </c>
      <c r="E16" s="6" t="n"/>
      <c r="F16" s="2" t="n"/>
    </row>
    <row r="17" ht="31.5" customHeight="1" s="38">
      <c r="A17" s="6" t="n">
        <v>13</v>
      </c>
      <c r="B17" s="6" t="inlineStr">
        <is>
          <t>Air China seat selection</t>
        </is>
      </c>
      <c r="C17" s="6" t="inlineStr">
        <is>
          <t>airchina.com</t>
        </is>
      </c>
      <c r="D17" s="6" t="inlineStr">
        <is>
          <t>CA784, CA961, CA962, CA783 — pick window seats for stopover photos.</t>
        </is>
      </c>
      <c r="E17" s="6" t="n"/>
      <c r="F17" s="2" t="n"/>
    </row>
    <row r="18" ht="31.5" customHeight="1" s="38">
      <c r="A18" s="6" t="n">
        <v>14</v>
      </c>
      <c r="B18" s="6" t="inlineStr">
        <is>
          <t>144-hr China Visa-Free Transit confirmation</t>
        </is>
      </c>
      <c r="C18" s="6" t="inlineStr">
        <is>
          <t>nzembassy.com</t>
        </is>
      </c>
      <c r="D18" s="6" t="inlineStr">
        <is>
          <t>Confirm NZ passport eligibility before AKL departure.</t>
        </is>
      </c>
      <c r="E18" s="6" t="n"/>
      <c r="F18" s="2" t="n"/>
    </row>
    <row r="19" ht="31.5" customHeight="1" s="38">
      <c r="A19" s="7" t="n">
        <v>15</v>
      </c>
      <c r="B19" s="7" t="inlineStr">
        <is>
          <t>Burg Altpernstein hotel · 11–13 Jul</t>
        </is>
      </c>
      <c r="C19" s="32" t="inlineStr">
        <is>
          <t>booking.com</t>
        </is>
      </c>
      <c r="D19" s="7" t="inlineStr">
        <is>
          <t>Castle hotel in Upper Austria, 2 nights · 5 guests (2 adults + ages 4, 8, 11)</t>
        </is>
      </c>
      <c r="E19" s="7" t="inlineStr">
        <is>
          <t>✓</t>
        </is>
      </c>
      <c r="F19" s="2" t="n"/>
    </row>
    <row r="20" ht="26.25" customHeight="1" s="38">
      <c r="A20" s="7" t="n">
        <v>16</v>
      </c>
      <c r="B20" s="7" t="inlineStr">
        <is>
          <t>Gold Art Apartment Prague · 13–15 Jul</t>
        </is>
      </c>
      <c r="C20" s="32" t="inlineStr">
        <is>
          <t>booking.com</t>
        </is>
      </c>
      <c r="D20" s="7" t="inlineStr">
        <is>
          <t>2 nights · family apartment for 5</t>
        </is>
      </c>
      <c r="E20" s="7" t="inlineStr">
        <is>
          <t>✓</t>
        </is>
      </c>
      <c r="F20" s="2" t="n"/>
    </row>
    <row r="21" ht="15" customHeight="1" s="38">
      <c r="A21" s="7" t="n">
        <v>17</v>
      </c>
      <c r="B21" s="7" t="inlineStr">
        <is>
          <t>The Levante Laudon Vienna · 15–16 Jul</t>
        </is>
      </c>
      <c r="C21" s="32" t="inlineStr">
        <is>
          <t>booking.com</t>
        </is>
      </c>
      <c r="D21" s="7" t="inlineStr">
        <is>
          <t>1 night · family room for 5</t>
        </is>
      </c>
      <c r="E21" s="7" t="inlineStr">
        <is>
          <t>✓</t>
        </is>
      </c>
      <c r="F21" s="2" t="n"/>
    </row>
    <row r="22" ht="15" customHeight="1" s="38">
      <c r="A22" s="2" t="n"/>
      <c r="B22" s="2" t="n"/>
      <c r="C22" s="2" t="n"/>
      <c r="D22" s="2" t="n"/>
      <c r="E22" s="2" t="n"/>
      <c r="F22" s="2" t="n"/>
    </row>
    <row r="23" ht="15" customHeight="1" s="38">
      <c r="A23" s="7" t="n">
        <v>18</v>
      </c>
      <c r="B23" s="7" t="inlineStr">
        <is>
          <t>City Home Budapest · 16–17 Jul</t>
        </is>
      </c>
      <c r="C23" s="32" t="inlineStr">
        <is>
          <t>booking.com</t>
        </is>
      </c>
      <c r="D23" s="7" t="inlineStr">
        <is>
          <t>District VII (Erzsébetváros) · Hársfa utca 51 · underground garage ~€20/night · 22 apartments, family-friendly</t>
        </is>
      </c>
      <c r="E23" s="7" t="inlineStr">
        <is>
          <t>✓</t>
        </is>
      </c>
      <c r="F23" s="2" t="n"/>
    </row>
    <row r="24" ht="15" customHeight="1" s="38">
      <c r="A24" s="7" t="n">
        <v>19</v>
      </c>
      <c r="B24" s="7" t="inlineStr">
        <is>
          <t>Trilocale Venezia Mestre · 5min Stazione · 17–19 Jul</t>
        </is>
      </c>
      <c r="C24" s="32" t="inlineStr">
        <is>
          <t>booking.com</t>
        </is>
      </c>
      <c r="D24" s="7" t="inlineStr">
        <is>
          <t>Via Podgora 6, 30171 Venice (Mestre) · 2 nights · 5-min walk to Mestre train station · 10-min train to Venezia Santa Lucia</t>
        </is>
      </c>
      <c r="E24" s="7" t="inlineStr">
        <is>
          <t>✓</t>
        </is>
      </c>
      <c r="F24" s="2" t="n"/>
    </row>
    <row r="25" ht="15" customHeight="1" s="38">
      <c r="A25" s="7" t="n">
        <v>20</v>
      </c>
      <c r="B25" s="7" t="inlineStr">
        <is>
          <t>Garden Blue · Florence · 19–20 Jul</t>
        </is>
      </c>
      <c r="C25" s="32" t="inlineStr">
        <is>
          <t>booking.com</t>
        </is>
      </c>
      <c r="D25" s="7" t="inlineStr">
        <is>
          <t>San Gallo district · ~15 min walk to Palazzo Vecchio · 0.9 km to Duomo · near Galleria dell'Accademia · breakfast included · paid on-site parking</t>
        </is>
      </c>
      <c r="E25" s="7" t="inlineStr">
        <is>
          <t>✓</t>
        </is>
      </c>
      <c r="F25" s="2" t="n"/>
    </row>
    <row r="26" ht="15" customHeight="1" s="38">
      <c r="A26" s="7" t="n">
        <v>21</v>
      </c>
      <c r="B26" s="7" t="inlineStr">
        <is>
          <t>Auri apartment · Rome · 20–23 Jul</t>
        </is>
      </c>
      <c r="C26" s="32" t="inlineStr">
        <is>
          <t>booking.com</t>
        </is>
      </c>
      <c r="D26" s="7" t="inlineStr">
        <is>
          <t>Aurelio · 18-min walk to Vatican Museums · 2 bedrooms / 2 bathrooms · balcony · fully equipped kitchen · 3 nights · base for Pompeii day + Vatican day</t>
        </is>
      </c>
      <c r="E26" s="7" t="inlineStr">
        <is>
          <t>✓</t>
        </is>
      </c>
      <c r="F26" s="2" t="n"/>
    </row>
    <row r="27" ht="15" customHeight="1" s="38">
      <c r="A27" s="17" t="n">
        <v>22</v>
      </c>
      <c r="B27" s="17" t="inlineStr">
        <is>
          <t>Postman 8 · Stalden · 24–25 Jul</t>
        </is>
      </c>
      <c r="C27" s="17" t="inlineStr">
        <is>
          <t>booking.com</t>
        </is>
      </c>
      <c r="D27" s="17" t="inlineStr">
        <is>
          <t>Kirchweg 8, 3922 Stalden · 1 night · walk to Stalden-Saas station for Zermatt train</t>
        </is>
      </c>
      <c r="E27" s="17" t="inlineStr">
        <is>
          <t>✓</t>
        </is>
      </c>
      <c r="F27" s="2" t="n"/>
    </row>
    <row r="28" ht="15" customHeight="1" s="38">
      <c r="A28" s="17" t="n">
        <v>23</v>
      </c>
      <c r="B28" s="17" t="inlineStr">
        <is>
          <t>La Pierre à Catillon · Moléson · 25–27 Jul</t>
        </is>
      </c>
      <c r="C28" s="17" t="inlineStr">
        <is>
          <t>booking.com</t>
        </is>
      </c>
      <c r="D28" s="17" t="inlineStr">
        <is>
          <t>Route de Moléson 228, 1663 Moléson-sur-Gruyères · 2 nights · base for Geneva day</t>
        </is>
      </c>
      <c r="E28" s="17" t="inlineStr">
        <is>
          <t>✓</t>
        </is>
      </c>
      <c r="F28" s="2" t="n"/>
    </row>
    <row r="29" ht="15.75" customHeight="1" s="38">
      <c r="A29" s="17" t="n">
        <v>24</v>
      </c>
      <c r="B29" s="17" t="inlineStr">
        <is>
          <t>Milan with Rasika Ayya · 23–24 Jul</t>
        </is>
      </c>
      <c r="C29" s="17" t="inlineStr">
        <is>
          <t>Friend stay 💚</t>
        </is>
      </c>
      <c r="D29" s="17" t="inlineStr">
        <is>
          <t>Address TBC · 1 night · no booking required</t>
        </is>
      </c>
      <c r="E29" s="17" t="inlineStr">
        <is>
          <t>💚</t>
        </is>
      </c>
      <c r="F29" s="2" t="n"/>
    </row>
    <row r="30" ht="15.75" customHeight="1" s="38">
      <c r="A30" s="17" t="n">
        <v>25</v>
      </c>
      <c r="B30" s="17" t="inlineStr">
        <is>
          <t>Zürich hotel · 27–28 Jul</t>
        </is>
      </c>
      <c r="C30" s="17" t="inlineStr">
        <is>
          <t>booking.com</t>
        </is>
      </c>
      <c r="D30" s="17" t="inlineStr">
        <is>
          <t>1 night · family room for 5 · last hotel before MUC drop</t>
        </is>
      </c>
      <c r="E30" s="2" t="n"/>
      <c r="F30" s="2" t="n"/>
    </row>
    <row r="31" ht="15.75" customHeight="1" s="38">
      <c r="A31" s="10" t="inlineStr">
        <is>
          <t>PROGRESS</t>
        </is>
      </c>
      <c r="B31" s="10">
        <f>COUNTIF(E5:E30,"✓")</f>
        <v/>
      </c>
      <c r="C31" s="10" t="inlineStr">
        <is>
          <t>of</t>
        </is>
      </c>
      <c r="D31" s="10">
        <f>COUNTA(B5:B30)</f>
        <v/>
      </c>
      <c r="E31" s="33">
        <f>B31/D31</f>
        <v/>
      </c>
      <c r="F31" s="2" t="n"/>
    </row>
    <row r="32" ht="15.75" customHeight="1" s="38">
      <c r="A32" s="2" t="n"/>
      <c r="B32" s="3" t="inlineStr">
        <is>
          <t>Tip: type ✓ in column E to track</t>
        </is>
      </c>
      <c r="C32" s="2" t="n"/>
      <c r="D32" s="2" t="n"/>
      <c r="E32" s="2" t="n"/>
      <c r="F32" s="2" t="n"/>
    </row>
    <row r="33" ht="15.75" customHeight="1" s="38">
      <c r="A33" s="2" t="n"/>
      <c r="B33" s="2" t="n"/>
      <c r="C33" s="2" t="n"/>
      <c r="D33" s="2" t="n"/>
      <c r="E33" s="2" t="n"/>
      <c r="F33" s="2" t="n"/>
    </row>
    <row r="34" ht="15.75" customHeight="1" s="38">
      <c r="A34" s="2" t="inlineStr">
        <is>
          <t>25</t>
        </is>
      </c>
      <c r="B34" s="2" t="inlineStr">
        <is>
          <t>Hotel Hirsch Ottobeuren · 27-28 Jul</t>
        </is>
      </c>
      <c r="C34" s="2" t="inlineStr">
        <is>
          <t>booking.com</t>
        </is>
      </c>
      <c r="D34" s="2" t="inlineStr">
        <is>
          <t>Marktplatz 12, 87724 Ottobeuren · 9.0/10 (1,877 reviews) · 1 night · family room for 5</t>
        </is>
      </c>
      <c r="E34" s="2" t="inlineStr">
        <is>
          <t>✓</t>
        </is>
      </c>
      <c r="F34" s="2" t="n"/>
    </row>
    <row r="35" ht="15.75" customHeight="1" s="38">
      <c r="A35" s="2" t="inlineStr">
        <is>
          <t>26</t>
        </is>
      </c>
      <c r="B35" s="2" t="inlineStr">
        <is>
          <t>Hôtel Atrium Mondial Lourdes · 28-29 Jul</t>
        </is>
      </c>
      <c r="C35" s="2" t="inlineStr">
        <is>
          <t>booking.com</t>
        </is>
      </c>
      <c r="D35" s="2" t="inlineStr">
        <is>
          <t>19 Avenue du Paradis, 65100 Lourdes · ~10 min walk to Sanctuary · uphill on return · BOOKED</t>
        </is>
      </c>
      <c r="E35" s="2" t="inlineStr">
        <is>
          <t>✓</t>
        </is>
      </c>
      <c r="F35" s="2" t="n"/>
    </row>
    <row r="36" ht="15.75" customHeight="1" s="38">
      <c r="A36" s="2" t="inlineStr">
        <is>
          <t>27</t>
        </is>
      </c>
      <c r="B36" s="2" t="inlineStr">
        <is>
          <t>Caen hotel · CANCELLED (Caen now optional day-trip from Paris, no overnight)</t>
        </is>
      </c>
      <c r="C36" s="2" t="inlineStr">
        <is>
          <t>booking.com</t>
        </is>
      </c>
      <c r="D36" s="2" t="inlineStr">
        <is>
          <t>Plan changed: Day 20 sleep Paris (Hôtel Home Latin) instead. Caen visited as Day 21 day-trip if energy permits, else skip.</t>
        </is>
      </c>
      <c r="E36" s="2" t="inlineStr">
        <is>
          <t>— OLD</t>
        </is>
      </c>
      <c r="F36" s="2" t="n"/>
    </row>
    <row r="37" ht="15.75" customHeight="1" s="38">
      <c r="A37" s="2" t="inlineStr">
        <is>
          <t>28</t>
        </is>
      </c>
      <c r="B37" s="2" t="inlineStr">
        <is>
          <t>Amsterdam with cousin · 29-30, 31 Jul – 2 Aug</t>
        </is>
      </c>
      <c r="C37" s="2" t="inlineStr">
        <is>
          <t>Family stay 💚</t>
        </is>
      </c>
      <c r="D37" s="2" t="inlineStr">
        <is>
          <t>Cousin's home · address TBC · 4 nights · no booking required</t>
        </is>
      </c>
      <c r="E37" s="2" t="inlineStr">
        <is>
          <t>💚</t>
        </is>
      </c>
      <c r="F37" s="2" t="n"/>
    </row>
    <row r="38" ht="15.75" customHeight="1" s="38">
      <c r="A38" s="2" t="inlineStr">
        <is>
          <t>29</t>
        </is>
      </c>
      <c r="B38" s="2" t="inlineStr">
        <is>
          <t>Danhostel Copenhagen City · 2-3 Aug</t>
        </is>
      </c>
      <c r="C38" s="2" t="inlineStr">
        <is>
          <t>booking.com</t>
        </is>
      </c>
      <c r="D38" s="2" t="inlineStr">
        <is>
          <t>H. C. Andersens Boulevard 50, 1553 Copenhagen · 5 min walk to Tivoli · 10 min to Central Station · family room</t>
        </is>
      </c>
      <c r="E38" s="2" t="inlineStr">
        <is>
          <t>✓</t>
        </is>
      </c>
      <c r="F38" s="2" t="n"/>
    </row>
    <row r="39" ht="15.75" customHeight="1" s="38">
      <c r="A39" s="2" t="inlineStr">
        <is>
          <t>30</t>
        </is>
      </c>
      <c r="B39" s="2" t="inlineStr">
        <is>
          <t>Gothenburg with sister · 3-5 Aug</t>
        </is>
      </c>
      <c r="C39" s="2" t="inlineStr">
        <is>
          <t>Sister stay 💙</t>
        </is>
      </c>
      <c r="D39" s="2" t="inlineStr">
        <is>
          <t>Sister's place (or nearby hotel) · 2 nights</t>
        </is>
      </c>
      <c r="E39" s="2" t="inlineStr">
        <is>
          <t>💙</t>
        </is>
      </c>
      <c r="F39" s="2" t="n"/>
    </row>
    <row r="40" ht="15.75" customHeight="1" s="38">
      <c r="A40" s="2" t="inlineStr">
        <is>
          <t>31</t>
        </is>
      </c>
      <c r="B40" s="2" t="inlineStr">
        <is>
          <t>Munich airport hotel · 5-6 Aug</t>
        </is>
      </c>
      <c r="C40" s="2" t="inlineStr">
        <is>
          <t>booking.com</t>
        </is>
      </c>
      <c r="D40" s="2" t="inlineStr">
        <is>
          <t>Novotel MUC Airport / Hilton Munich Airport · day room or overnight · ~€60-120</t>
        </is>
      </c>
      <c r="E40" s="2" t="n"/>
      <c r="F40" s="2" t="n"/>
    </row>
    <row r="41" ht="15.75" customHeight="1" s="38">
      <c r="A41" s="2" t="inlineStr">
        <is>
          <t>32</t>
        </is>
      </c>
      <c r="B41" s="2" t="inlineStr">
        <is>
          <t>TLS rental car · 28-29 Jul</t>
        </is>
      </c>
      <c r="C41" s="2" t="inlineStr">
        <is>
          <t>hertz.com / europcar.fr</t>
        </is>
      </c>
      <c r="D41" s="2" t="inlineStr">
        <is>
          <t>Pick up Toulouse-Blagnac airport Tue 28 Jul ~16:30 · drop Wed 29 Jul ~08:00 · ~€100-150 total · pre-book</t>
        </is>
      </c>
      <c r="E41" s="2" t="n"/>
      <c r="F41" s="2" t="n"/>
    </row>
    <row r="42" ht="15.75" customHeight="1" s="38">
      <c r="A42" s="2" t="inlineStr">
        <is>
          <t>33</t>
        </is>
      </c>
      <c r="B42" s="2" t="inlineStr">
        <is>
          <t>KLM MUC→AMS→TLS · Tue 28 Jul</t>
        </is>
      </c>
      <c r="C42" s="2" t="inlineStr">
        <is>
          <t>klm.com</t>
        </is>
      </c>
      <c r="D42" s="2" t="inlineStr">
        <is>
          <t>KLM 11:50 MUC → AMS Schiphol → TLS 16:15 · 4h 25min via Schiphol layover · book 3+ months ahead</t>
        </is>
      </c>
      <c r="E42" s="2" t="n"/>
      <c r="F42" s="2" t="n"/>
    </row>
    <row r="43" ht="15.75" customHeight="1" s="38">
      <c r="A43" s="2" t="inlineStr">
        <is>
          <t>34</t>
        </is>
      </c>
      <c r="B43" s="2" t="inlineStr">
        <is>
          <t>TGV Toulouse → Paris · Wed 29 Jul</t>
        </is>
      </c>
      <c r="C43" s="2" t="inlineStr">
        <is>
          <t>sncf-connect.com / trainline.com</t>
        </is>
      </c>
      <c r="D43" s="2" t="inlineStr">
        <is>
          <t>Toulouse Matabiau 10:20 → Paris Montparnasse 14:35 · 4h 15m direct · BOOKED</t>
        </is>
      </c>
      <c r="E43" s="2" t="inlineStr">
        <is>
          <t>✓</t>
        </is>
      </c>
      <c r="F43" s="2" t="n"/>
    </row>
    <row r="44" ht="15.75" customHeight="1" s="38">
      <c r="A44" s="2" t="inlineStr">
        <is>
          <t>35</t>
        </is>
      </c>
      <c r="B44" s="2" t="inlineStr">
        <is>
          <t>Eurostar Paris → Amsterdam · Wed 29 Jul</t>
        </is>
      </c>
      <c r="C44" s="2" t="inlineStr">
        <is>
          <t>eurostar.com / trainline.com</t>
        </is>
      </c>
      <c r="D44" s="2" t="inlineStr">
        <is>
          <t>Paris Nord ~16:00 → Amsterdam Centraal 19:20 · 3h 20min · book together with TGV</t>
        </is>
      </c>
      <c r="E44" s="2" t="n"/>
      <c r="F44" s="2" t="n"/>
    </row>
    <row r="45" ht="15.75" customHeight="1" s="38">
      <c r="A45" s="2" t="inlineStr">
        <is>
          <t>36</t>
        </is>
      </c>
      <c r="B45" s="2" t="inlineStr">
        <is>
          <t>KLM AMS→CPH · Sun 2 Aug</t>
        </is>
      </c>
      <c r="C45" s="2" t="inlineStr">
        <is>
          <t>klm.com</t>
        </is>
      </c>
      <c r="D45" s="2" t="inlineStr">
        <is>
          <t>AMS 19:00 → CPH 20:30 · 1h 25min direct</t>
        </is>
      </c>
      <c r="E45" s="2" t="n"/>
      <c r="F45" s="2" t="n"/>
    </row>
    <row r="46" ht="15.75" customHeight="1" s="38">
      <c r="A46" s="2" t="inlineStr">
        <is>
          <t>37</t>
        </is>
      </c>
      <c r="B46" s="2" t="inlineStr">
        <is>
          <t>X2000 train CPH→Gothenburg · Mon 3 Aug</t>
        </is>
      </c>
      <c r="C46" s="2" t="inlineStr">
        <is>
          <t>sj.se</t>
        </is>
      </c>
      <c r="D46" s="2" t="inlineStr">
        <is>
          <t>Copenhagen Central 13:00 → Gothenburg Central 16:40 · via Öresund Bridge · 3h 40min</t>
        </is>
      </c>
      <c r="E46" s="2" t="n"/>
      <c r="F46" s="2" t="n"/>
    </row>
    <row r="47" ht="15.75" customHeight="1" s="38">
      <c r="A47" s="2" t="inlineStr">
        <is>
          <t>38</t>
        </is>
      </c>
      <c r="B47" s="2" t="inlineStr">
        <is>
          <t>GOT→MUC flight · Wed 5 Aug 06:30</t>
        </is>
      </c>
      <c r="C47" s="2" t="inlineStr">
        <is>
          <t>sas.se / norwegian.com</t>
        </is>
      </c>
      <c r="D47" s="2" t="inlineStr">
        <is>
          <t>Single most critical booking · early flight · book 3+ months ahead</t>
        </is>
      </c>
      <c r="E47" s="2" t="n"/>
      <c r="F47" s="2" t="n"/>
    </row>
    <row r="48" ht="15.75" customHeight="1" s="38">
      <c r="A48" s="2" t="inlineStr">
        <is>
          <t>39</t>
        </is>
      </c>
      <c r="B48" s="2" t="inlineStr">
        <is>
          <t>ibis budget Paris Porte d Italie Ouest · 30-31 Jul (2 rooms)</t>
        </is>
      </c>
      <c r="C48" s="2" t="inlineStr">
        <is>
          <t>booking.com</t>
        </is>
      </c>
      <c r="D48" s="2" t="inlineStr">
        <is>
          <t>9-15 Rue Élisée Reclus, 94270 Le Kremlin-Bicêtre · 2 rooms (family of 5) · FREE private parking · Métro Line 7 (5 min walk) · BOOKED</t>
        </is>
      </c>
      <c r="E48" s="2" t="inlineStr">
        <is>
          <t>✓</t>
        </is>
      </c>
      <c r="F48" s="2" t="n"/>
    </row>
    <row r="49" ht="15.75" customHeight="1" s="38">
      <c r="A49" s="2" t="n"/>
      <c r="B49" s="2" t="n"/>
      <c r="C49" s="2" t="n"/>
      <c r="D49" s="2" t="n"/>
      <c r="E49" s="2" t="n"/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n"/>
      <c r="B52" s="2" t="n"/>
      <c r="C52" s="2" t="n"/>
      <c r="D52" s="2" t="n"/>
      <c r="E52" s="2" t="n"/>
      <c r="F52" s="2" t="n"/>
    </row>
    <row r="53" ht="15.75" customHeight="1" s="38">
      <c r="A53" s="2" t="n"/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n"/>
      <c r="B55" s="2" t="n"/>
      <c r="C55" s="2" t="n"/>
      <c r="D55" s="2" t="n"/>
      <c r="E55" s="2" t="n"/>
      <c r="F55" s="2" t="n"/>
    </row>
    <row r="56" ht="15.75" customHeight="1" s="38">
      <c r="A56" s="2" t="n"/>
      <c r="B56" s="2" t="n"/>
      <c r="C56" s="2" t="n"/>
      <c r="D56" s="2" t="n"/>
      <c r="E56" s="2" t="n"/>
      <c r="F56" s="2" t="n"/>
    </row>
    <row r="57" ht="15.75" customHeight="1" s="38">
      <c r="A57" s="2" t="n"/>
      <c r="B57" s="2" t="n"/>
      <c r="C57" s="2" t="n"/>
      <c r="D57" s="2" t="n"/>
      <c r="E57" s="2" t="n"/>
      <c r="F57" s="2" t="n"/>
    </row>
    <row r="58" ht="15.75" customHeight="1" s="38">
      <c r="A58" s="2" t="n"/>
      <c r="B58" s="2" t="n"/>
      <c r="C58" s="2" t="n"/>
      <c r="D58" s="2" t="n"/>
      <c r="E58" s="2" t="n"/>
      <c r="F58" s="2" t="n"/>
    </row>
    <row r="59" ht="15.75" customHeight="1" s="38">
      <c r="A59" s="2" t="n"/>
      <c r="B59" s="2" t="n"/>
      <c r="C59" s="2" t="n"/>
      <c r="D59" s="2" t="n"/>
      <c r="E59" s="2" t="n"/>
      <c r="F59" s="2" t="n"/>
    </row>
    <row r="60" ht="15.75" customHeight="1" s="38">
      <c r="A60" s="2" t="n"/>
      <c r="B60" s="2" t="n"/>
      <c r="C60" s="2" t="n"/>
      <c r="D60" s="2" t="n"/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n"/>
      <c r="B62" s="2" t="n"/>
      <c r="C62" s="2" t="n"/>
      <c r="D62" s="2" t="n"/>
      <c r="E62" s="2" t="n"/>
      <c r="F62" s="2" t="n"/>
    </row>
    <row r="63" ht="15.75" customHeight="1" s="38">
      <c r="A63" s="2" t="n"/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n"/>
      <c r="B65" s="2" t="n"/>
      <c r="C65" s="2" t="n"/>
      <c r="D65" s="2" t="n"/>
      <c r="E65" s="2" t="n"/>
      <c r="F65" s="2" t="n"/>
    </row>
    <row r="66" ht="15.75" customHeight="1" s="38">
      <c r="A66" s="2" t="n"/>
      <c r="B66" s="2" t="n"/>
      <c r="C66" s="2" t="n"/>
      <c r="D66" s="2" t="n"/>
      <c r="E66" s="2" t="n"/>
      <c r="F66" s="2" t="n"/>
    </row>
    <row r="67" ht="15.75" customHeight="1" s="38">
      <c r="A67" s="2" t="n"/>
      <c r="B67" s="2" t="n"/>
      <c r="C67" s="2" t="n"/>
      <c r="D67" s="2" t="n"/>
      <c r="E67" s="2" t="n"/>
      <c r="F67" s="2" t="n"/>
    </row>
    <row r="68" ht="15.75" customHeight="1" s="38">
      <c r="A68" s="2" t="n"/>
      <c r="B68" s="2" t="n"/>
      <c r="C68" s="2" t="n"/>
      <c r="D68" s="2" t="n"/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n"/>
      <c r="B70" s="2" t="n"/>
      <c r="C70" s="2" t="n"/>
      <c r="D70" s="2" t="n"/>
      <c r="E70" s="2" t="n"/>
      <c r="F70" s="2" t="n"/>
    </row>
    <row r="71" ht="15.75" customHeight="1" s="38">
      <c r="A71" s="2" t="n"/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n"/>
      <c r="B73" s="2" t="n"/>
      <c r="C73" s="2" t="n"/>
      <c r="D73" s="2" t="n"/>
      <c r="E73" s="2" t="n"/>
      <c r="F73" s="2" t="n"/>
    </row>
    <row r="74" ht="15.75" customHeight="1" s="38">
      <c r="A74" s="2" t="n"/>
      <c r="B74" s="2" t="n"/>
      <c r="C74" s="2" t="n"/>
      <c r="D74" s="2" t="n"/>
      <c r="E74" s="2" t="n"/>
      <c r="F74" s="2" t="n"/>
    </row>
    <row r="75" ht="15.75" customHeight="1" s="38">
      <c r="A75" s="2" t="n"/>
      <c r="B75" s="2" t="n"/>
      <c r="C75" s="2" t="n"/>
      <c r="D75" s="2" t="n"/>
      <c r="E75" s="2" t="n"/>
      <c r="F75" s="2" t="n"/>
    </row>
    <row r="76" ht="15.75" customHeight="1" s="38">
      <c r="A76" s="2" t="n"/>
      <c r="B76" s="2" t="n"/>
      <c r="C76" s="2" t="n"/>
      <c r="D76" s="2" t="n"/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n"/>
      <c r="B78" s="2" t="n"/>
      <c r="C78" s="2" t="n"/>
      <c r="D78" s="2" t="n"/>
      <c r="E78" s="2" t="n"/>
      <c r="F78" s="2" t="n"/>
    </row>
    <row r="79" ht="15.75" customHeight="1" s="38">
      <c r="A79" s="2" t="n"/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n"/>
      <c r="B81" s="2" t="n"/>
      <c r="C81" s="2" t="n"/>
      <c r="D81" s="2" t="n"/>
      <c r="E81" s="2" t="n"/>
      <c r="F81" s="2" t="n"/>
    </row>
    <row r="82" ht="15.75" customHeight="1" s="38">
      <c r="A82" s="2" t="n"/>
      <c r="B82" s="2" t="n"/>
      <c r="C82" s="2" t="n"/>
      <c r="D82" s="2" t="n"/>
      <c r="E82" s="2" t="n"/>
      <c r="F82" s="2" t="n"/>
    </row>
    <row r="83" ht="15.75" customHeight="1" s="38">
      <c r="A83" s="2" t="n"/>
      <c r="B83" s="2" t="n"/>
      <c r="C83" s="2" t="n"/>
      <c r="D83" s="2" t="n"/>
      <c r="E83" s="2" t="n"/>
      <c r="F83" s="2" t="n"/>
    </row>
    <row r="84" ht="15.75" customHeight="1" s="38">
      <c r="A84" s="2" t="n"/>
      <c r="B84" s="2" t="n"/>
      <c r="C84" s="2" t="n"/>
      <c r="D84" s="2" t="n"/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mergeCells count="2">
    <mergeCell ref="A2:E2"/>
    <mergeCell ref="A1:E1"/>
  </mergeCells>
  <hyperlinks>
    <hyperlink xmlns:r="http://schemas.openxmlformats.org/officeDocument/2006/relationships" ref="C19" r:id="rId1"/>
    <hyperlink xmlns:r="http://schemas.openxmlformats.org/officeDocument/2006/relationships" ref="C20" r:id="rId2"/>
    <hyperlink xmlns:r="http://schemas.openxmlformats.org/officeDocument/2006/relationships" ref="C21" r:id="rId3"/>
    <hyperlink xmlns:r="http://schemas.openxmlformats.org/officeDocument/2006/relationships" ref="C23" r:id="rId4"/>
    <hyperlink xmlns:r="http://schemas.openxmlformats.org/officeDocument/2006/relationships" ref="C24" r:id="rId5"/>
    <hyperlink xmlns:r="http://schemas.openxmlformats.org/officeDocument/2006/relationships" ref="C25" r:id="rId6"/>
    <hyperlink xmlns:r="http://schemas.openxmlformats.org/officeDocument/2006/relationships" ref="C26" r:id="rId7"/>
  </hyperlink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38" min="1" max="1"/>
    <col width="26" customWidth="1" style="38" min="2" max="2"/>
    <col width="18" customWidth="1" style="38" min="3" max="3"/>
    <col width="12" customWidth="1" style="38" min="4" max="4"/>
    <col width="8.710000000000001" customWidth="1" style="38" min="5" max="6"/>
  </cols>
  <sheetData>
    <row r="1" ht="24" customHeight="1" s="38">
      <c r="A1" s="1" t="inlineStr">
        <is>
          <t>Cities visited</t>
        </is>
      </c>
      <c r="E1" s="2" t="n"/>
      <c r="F1" s="2" t="n"/>
    </row>
    <row r="2" ht="18" customHeight="1" s="38">
      <c r="A2" s="3" t="inlineStr">
        <is>
          <t>Nights per stop · 25 nights total verified by formula</t>
        </is>
      </c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15" customHeight="1" s="38">
      <c r="A4" s="4" t="inlineStr">
        <is>
          <t>Order</t>
        </is>
      </c>
      <c r="B4" s="4" t="inlineStr">
        <is>
          <t>City</t>
        </is>
      </c>
      <c r="C4" s="4" t="inlineStr">
        <is>
          <t>Country</t>
        </is>
      </c>
      <c r="D4" s="4" t="inlineStr">
        <is>
          <t>Nights</t>
        </is>
      </c>
      <c r="E4" s="2" t="n"/>
      <c r="F4" s="2" t="n"/>
    </row>
    <row r="5" ht="15" customHeight="1" s="38">
      <c r="A5" s="6" t="n">
        <v>1</v>
      </c>
      <c r="B5" s="6" t="inlineStr">
        <is>
          <t>Munich (arrive only)</t>
        </is>
      </c>
      <c r="C5" s="6" t="inlineStr">
        <is>
          <t>Germany</t>
        </is>
      </c>
      <c r="D5" s="6" t="n">
        <v>0</v>
      </c>
      <c r="E5" s="2" t="n"/>
      <c r="F5" s="2" t="n"/>
    </row>
    <row r="6" ht="15" customHeight="1" s="38">
      <c r="A6" s="6" t="inlineStr">
        <is>
          <t>1b</t>
        </is>
      </c>
      <c r="B6" s="6" t="inlineStr">
        <is>
          <t>Burg Altpernstein (castle hotel)</t>
        </is>
      </c>
      <c r="C6" s="6" t="inlineStr">
        <is>
          <t>Austria</t>
        </is>
      </c>
      <c r="D6" s="6" t="n">
        <v>2</v>
      </c>
      <c r="E6" s="2" t="n"/>
      <c r="F6" s="2" t="n"/>
    </row>
    <row r="7" ht="15" customHeight="1" s="38">
      <c r="A7" s="25" t="inlineStr">
        <is>
          <t>+</t>
        </is>
      </c>
      <c r="B7" s="25" t="inlineStr">
        <is>
          <t>Salzburg (day-trip option from Burg)</t>
        </is>
      </c>
      <c r="C7" s="25" t="inlineStr">
        <is>
          <t>Austria</t>
        </is>
      </c>
      <c r="D7" s="2" t="n"/>
      <c r="E7" s="2" t="n"/>
      <c r="F7" s="2" t="n"/>
    </row>
    <row r="8" ht="15" customHeight="1" s="38">
      <c r="A8" s="6" t="n">
        <v>2</v>
      </c>
      <c r="B8" s="6" t="inlineStr">
        <is>
          <t>Hallstatt (day trip)</t>
        </is>
      </c>
      <c r="C8" s="6" t="inlineStr">
        <is>
          <t>Austria</t>
        </is>
      </c>
      <c r="D8" s="6" t="n">
        <v>0</v>
      </c>
      <c r="E8" s="2" t="n"/>
      <c r="F8" s="2" t="n"/>
    </row>
    <row r="9" ht="15" customHeight="1" s="38">
      <c r="A9" s="6" t="n">
        <v>3</v>
      </c>
      <c r="B9" s="6" t="inlineStr">
        <is>
          <t>Prague</t>
        </is>
      </c>
      <c r="C9" s="6" t="inlineStr">
        <is>
          <t>Czechia</t>
        </is>
      </c>
      <c r="D9" s="6" t="n">
        <v>2</v>
      </c>
      <c r="E9" s="2" t="n"/>
      <c r="F9" s="2" t="n"/>
    </row>
    <row r="10" ht="15" customHeight="1" s="38">
      <c r="A10" s="6" t="n">
        <v>4</v>
      </c>
      <c r="B10" s="6" t="inlineStr">
        <is>
          <t>Vienna</t>
        </is>
      </c>
      <c r="C10" s="6" t="inlineStr">
        <is>
          <t>Austria</t>
        </is>
      </c>
      <c r="D10" s="6" t="n">
        <v>1</v>
      </c>
      <c r="E10" s="2" t="n"/>
      <c r="F10" s="2" t="n"/>
    </row>
    <row r="11" ht="15" customHeight="1" s="38">
      <c r="A11" s="6" t="n">
        <v>5</v>
      </c>
      <c r="B11" s="6" t="inlineStr">
        <is>
          <t>Budapest</t>
        </is>
      </c>
      <c r="C11" s="6" t="inlineStr">
        <is>
          <t>Hungary</t>
        </is>
      </c>
      <c r="D11" s="6" t="n">
        <v>1</v>
      </c>
      <c r="E11" s="2" t="n"/>
      <c r="F11" s="2" t="n"/>
    </row>
    <row r="12" ht="15" customHeight="1" s="38">
      <c r="A12" s="6" t="n">
        <v>6</v>
      </c>
      <c r="B12" s="6" t="inlineStr">
        <is>
          <t>Bled (day stop)</t>
        </is>
      </c>
      <c r="C12" s="6" t="inlineStr">
        <is>
          <t>Slovenia</t>
        </is>
      </c>
      <c r="D12" s="6" t="n">
        <v>0</v>
      </c>
      <c r="E12" s="2" t="n"/>
      <c r="F12" s="2" t="n"/>
    </row>
    <row r="13" ht="15" customHeight="1" s="38">
      <c r="A13" s="6" t="n">
        <v>7</v>
      </c>
      <c r="B13" s="6" t="inlineStr">
        <is>
          <t>Venice</t>
        </is>
      </c>
      <c r="C13" s="6" t="inlineStr">
        <is>
          <t>Italy</t>
        </is>
      </c>
      <c r="D13" s="6" t="n">
        <v>2</v>
      </c>
      <c r="E13" s="2" t="n"/>
      <c r="F13" s="2" t="n"/>
    </row>
    <row r="14" ht="15" customHeight="1" s="38">
      <c r="A14" s="6" t="n">
        <v>8</v>
      </c>
      <c r="B14" s="6" t="inlineStr">
        <is>
          <t>Florence</t>
        </is>
      </c>
      <c r="C14" s="6" t="inlineStr">
        <is>
          <t>Italy</t>
        </is>
      </c>
      <c r="D14" s="6" t="n">
        <v>1</v>
      </c>
      <c r="E14" s="2" t="n"/>
      <c r="F14" s="2" t="n"/>
    </row>
    <row r="15" ht="15" customHeight="1" s="38">
      <c r="A15" s="6" t="n">
        <v>9</v>
      </c>
      <c r="B15" s="6" t="inlineStr">
        <is>
          <t>Naples (day trip)</t>
        </is>
      </c>
      <c r="C15" s="6" t="inlineStr">
        <is>
          <t>Italy</t>
        </is>
      </c>
      <c r="D15" s="6" t="n">
        <v>0</v>
      </c>
      <c r="E15" s="2" t="n"/>
      <c r="F15" s="2" t="n"/>
    </row>
    <row r="16" ht="15" customHeight="1" s="38">
      <c r="A16" s="6" t="n">
        <v>10</v>
      </c>
      <c r="B16" s="6" t="inlineStr">
        <is>
          <t>Rome</t>
        </is>
      </c>
      <c r="C16" s="6" t="inlineStr">
        <is>
          <t>Italy</t>
        </is>
      </c>
      <c r="D16" s="6" t="n">
        <v>3</v>
      </c>
      <c r="E16" s="2" t="n"/>
      <c r="F16" s="2" t="n"/>
    </row>
    <row r="17" ht="15" customHeight="1" s="38">
      <c r="A17" s="6" t="n">
        <v>11</v>
      </c>
      <c r="B17" s="6" t="inlineStr">
        <is>
          <t>Milan</t>
        </is>
      </c>
      <c r="C17" s="6" t="inlineStr">
        <is>
          <t>Italy</t>
        </is>
      </c>
      <c r="D17" s="6" t="n">
        <v>1</v>
      </c>
      <c r="E17" s="2" t="n"/>
      <c r="F17" s="2" t="n"/>
    </row>
    <row r="18" ht="15" customHeight="1" s="38">
      <c r="A18" s="6" t="inlineStr">
        <is>
          <t>12.0</t>
        </is>
      </c>
      <c r="B18" s="6" t="inlineStr">
        <is>
          <t>Stalden (Valais)</t>
        </is>
      </c>
      <c r="C18" s="6" t="inlineStr">
        <is>
          <t>Switzerland</t>
        </is>
      </c>
      <c r="D18" s="6" t="n">
        <v>1</v>
      </c>
      <c r="E18" s="2" t="n"/>
      <c r="F18" s="2" t="n"/>
    </row>
    <row r="19" ht="15" customHeight="1" s="38">
      <c r="A19" s="6" t="inlineStr">
        <is>
          <t>13.0</t>
        </is>
      </c>
      <c r="B19" s="6" t="inlineStr">
        <is>
          <t>Moléson-sur-Gruyères</t>
        </is>
      </c>
      <c r="C19" s="6" t="inlineStr">
        <is>
          <t>Switzerland</t>
        </is>
      </c>
      <c r="D19" s="6" t="n">
        <v>2</v>
      </c>
      <c r="E19" s="2" t="n"/>
      <c r="F19" s="2" t="n"/>
    </row>
    <row r="20" ht="15" customHeight="1" s="38">
      <c r="A20" s="6" t="inlineStr">
        <is>
          <t>14.0</t>
        </is>
      </c>
      <c r="B20" s="6" t="inlineStr">
        <is>
          <t>Ottobeuren (Bavaria)</t>
        </is>
      </c>
      <c r="C20" s="6" t="inlineStr">
        <is>
          <t>Germany</t>
        </is>
      </c>
      <c r="D20" s="6" t="n">
        <v>1</v>
      </c>
      <c r="E20" s="2" t="n"/>
      <c r="F20" s="2" t="n"/>
    </row>
    <row r="21" ht="15" customHeight="1" s="38">
      <c r="A21" s="6" t="n">
        <v>15</v>
      </c>
      <c r="B21" s="6" t="inlineStr">
        <is>
          <t>Paris</t>
        </is>
      </c>
      <c r="C21" s="6" t="inlineStr">
        <is>
          <t>France</t>
        </is>
      </c>
      <c r="D21" s="6" t="n">
        <v>1</v>
      </c>
      <c r="E21" s="2" t="n"/>
      <c r="F21" s="2" t="n"/>
    </row>
    <row r="22" ht="15" customHeight="1" s="38">
      <c r="A22" s="6" t="n">
        <v>16</v>
      </c>
      <c r="B22" s="6" t="inlineStr">
        <is>
          <t>Lourdes</t>
        </is>
      </c>
      <c r="C22" s="6" t="inlineStr">
        <is>
          <t>France</t>
        </is>
      </c>
      <c r="D22" s="6" t="n">
        <v>1</v>
      </c>
      <c r="E22" s="2" t="n"/>
      <c r="F22" s="2" t="n"/>
    </row>
    <row r="23" ht="15" customHeight="1" s="38">
      <c r="A23" s="7" t="n">
        <v>17</v>
      </c>
      <c r="B23" s="7" t="inlineStr">
        <is>
          <t>Amsterdam</t>
        </is>
      </c>
      <c r="C23" s="7" t="inlineStr">
        <is>
          <t>Netherlands</t>
        </is>
      </c>
      <c r="D23" s="7" t="n">
        <v>1</v>
      </c>
      <c r="E23" s="2" t="n"/>
      <c r="F23" s="2" t="n"/>
    </row>
    <row r="24" ht="15" customHeight="1" s="38">
      <c r="A24" s="7" t="n">
        <v>19</v>
      </c>
      <c r="B24" s="7" t="inlineStr">
        <is>
          <t>Copenhagen</t>
        </is>
      </c>
      <c r="C24" s="7" t="inlineStr">
        <is>
          <t>Denmark</t>
        </is>
      </c>
      <c r="D24" s="7" t="n">
        <v>1</v>
      </c>
      <c r="E24" s="2" t="n"/>
      <c r="F24" s="2" t="n"/>
    </row>
    <row r="25" ht="15" customHeight="1" s="38">
      <c r="A25" s="8" t="n">
        <v>20</v>
      </c>
      <c r="B25" s="8" t="inlineStr">
        <is>
          <t>Gothenburg</t>
        </is>
      </c>
      <c r="C25" s="8" t="inlineStr">
        <is>
          <t>Sweden</t>
        </is>
      </c>
      <c r="D25" s="8" t="n">
        <v>2</v>
      </c>
      <c r="E25" s="2" t="n"/>
      <c r="F25" s="2" t="n"/>
    </row>
    <row r="26" ht="15" customHeight="1" s="38">
      <c r="A26" s="25" t="inlineStr">
        <is>
          <t>+</t>
        </is>
      </c>
      <c r="B26" s="25" t="inlineStr">
        <is>
          <t>Geneva (day trip from Moléson)</t>
        </is>
      </c>
      <c r="C26" s="25" t="inlineStr">
        <is>
          <t>Switzerland</t>
        </is>
      </c>
      <c r="D26" s="2" t="n"/>
      <c r="E26" s="2" t="n"/>
      <c r="F26" s="2" t="n"/>
    </row>
    <row r="27" ht="15.75" customHeight="1" s="38">
      <c r="A27" s="25" t="inlineStr">
        <is>
          <t>+</t>
        </is>
      </c>
      <c r="B27" s="25" t="inlineStr">
        <is>
          <t>Bern (3hr stop)</t>
        </is>
      </c>
      <c r="C27" s="25" t="inlineStr">
        <is>
          <t>Switzerland</t>
        </is>
      </c>
      <c r="D27" s="2" t="n"/>
      <c r="E27" s="2" t="n"/>
      <c r="F27" s="2" t="n"/>
    </row>
    <row r="28" ht="15.75" customHeight="1" s="38">
      <c r="A28" s="25" t="inlineStr">
        <is>
          <t>+</t>
        </is>
      </c>
      <c r="B28" s="25" t="inlineStr">
        <is>
          <t>Bruges + Brussels (day trip from AMS)</t>
        </is>
      </c>
      <c r="C28" s="25" t="inlineStr">
        <is>
          <t>Belgium</t>
        </is>
      </c>
      <c r="D28" s="2" t="n"/>
      <c r="E28" s="2" t="n"/>
      <c r="F28" s="2" t="n"/>
    </row>
    <row r="29" ht="15.75" customHeight="1" s="38">
      <c r="A29" s="25" t="inlineStr">
        <is>
          <t>+</t>
        </is>
      </c>
      <c r="B29" s="25" t="inlineStr">
        <is>
          <t>Bayeux (Tapestry stop)</t>
        </is>
      </c>
      <c r="C29" s="25" t="inlineStr">
        <is>
          <t>France</t>
        </is>
      </c>
      <c r="D29" s="2" t="n"/>
      <c r="E29" s="2" t="n"/>
      <c r="F29" s="2" t="n"/>
    </row>
    <row r="30" ht="15.75" customHeight="1" s="38">
      <c r="A30" s="25" t="inlineStr">
        <is>
          <t>+</t>
        </is>
      </c>
      <c r="B30" s="25" t="inlineStr">
        <is>
          <t>Paris (brief stop en route Caen)</t>
        </is>
      </c>
      <c r="C30" s="25" t="inlineStr">
        <is>
          <t>France</t>
        </is>
      </c>
      <c r="D30" s="2" t="n"/>
      <c r="E30" s="2" t="n"/>
      <c r="F30" s="2" t="n"/>
    </row>
    <row r="31" ht="15.75" customHeight="1" s="38">
      <c r="A31" s="10" t="inlineStr">
        <is>
          <t>TOTAL</t>
        </is>
      </c>
      <c r="B31" s="10" t="inlineStr">
        <is>
          <t>Nights</t>
        </is>
      </c>
      <c r="C31" s="10" t="n"/>
      <c r="D31" s="10">
        <f>SUM(D5:D30)</f>
        <v/>
      </c>
      <c r="E31" s="2" t="n"/>
      <c r="F31" s="2" t="n"/>
    </row>
    <row r="32" ht="15.75" customHeight="1" s="38">
      <c r="A32" s="2" t="n"/>
      <c r="B32" s="2" t="n"/>
      <c r="C32" s="2" t="n"/>
      <c r="D32" s="2" t="n"/>
      <c r="E32" s="2" t="n"/>
      <c r="F32" s="2" t="n"/>
    </row>
    <row r="33" ht="15.75" customHeight="1" s="38">
      <c r="A33" s="2" t="n"/>
      <c r="B33" s="2" t="n"/>
      <c r="C33" s="2" t="n"/>
      <c r="D33" s="2" t="n"/>
      <c r="E33" s="2" t="n"/>
      <c r="F33" s="2" t="n"/>
    </row>
    <row r="34" ht="15.75" customHeight="1" s="38">
      <c r="A34" s="2" t="n"/>
      <c r="B34" s="2" t="n"/>
      <c r="C34" s="2" t="n"/>
      <c r="D34" s="2" t="n"/>
      <c r="E34" s="2" t="n"/>
      <c r="F34" s="2" t="n"/>
    </row>
    <row r="35" ht="15.75" customHeight="1" s="38">
      <c r="A35" s="2" t="n"/>
      <c r="B35" s="2" t="n"/>
      <c r="C35" s="2" t="n"/>
      <c r="D35" s="2" t="n"/>
      <c r="E35" s="2" t="n"/>
      <c r="F35" s="2" t="n"/>
    </row>
    <row r="36" ht="15.75" customHeight="1" s="38">
      <c r="A36" s="2" t="n"/>
      <c r="B36" s="2" t="n"/>
      <c r="C36" s="2" t="n"/>
      <c r="D36" s="2" t="n"/>
      <c r="E36" s="2" t="n"/>
      <c r="F36" s="2" t="n"/>
    </row>
    <row r="37" ht="15.75" customHeight="1" s="38">
      <c r="A37" s="2" t="n"/>
      <c r="B37" s="2" t="n"/>
      <c r="C37" s="2" t="n"/>
      <c r="D37" s="2" t="n"/>
      <c r="E37" s="2" t="n"/>
      <c r="F37" s="2" t="n"/>
    </row>
    <row r="38" ht="15.75" customHeight="1" s="38">
      <c r="A38" s="2" t="n"/>
      <c r="B38" s="2" t="n"/>
      <c r="C38" s="2" t="n"/>
      <c r="D38" s="2" t="n"/>
      <c r="E38" s="2" t="n"/>
      <c r="F38" s="2" t="n"/>
    </row>
    <row r="39" ht="15.75" customHeight="1" s="38">
      <c r="A39" s="2" t="n"/>
      <c r="B39" s="2" t="n"/>
      <c r="C39" s="2" t="n"/>
      <c r="D39" s="2" t="n"/>
      <c r="E39" s="2" t="n"/>
      <c r="F39" s="2" t="n"/>
    </row>
    <row r="40" ht="15.75" customHeight="1" s="38">
      <c r="A40" s="2" t="n"/>
      <c r="B40" s="2" t="n"/>
      <c r="C40" s="2" t="n"/>
      <c r="D40" s="2" t="n"/>
      <c r="E40" s="2" t="n"/>
      <c r="F40" s="2" t="n"/>
    </row>
    <row r="41" ht="15.75" customHeight="1" s="38">
      <c r="A41" s="2" t="n"/>
      <c r="B41" s="2" t="n"/>
      <c r="C41" s="2" t="n"/>
      <c r="D41" s="2" t="n"/>
      <c r="E41" s="2" t="n"/>
      <c r="F41" s="2" t="n"/>
    </row>
    <row r="42" ht="15.75" customHeight="1" s="38">
      <c r="A42" s="2" t="n"/>
      <c r="B42" s="2" t="n"/>
      <c r="C42" s="2" t="n"/>
      <c r="D42" s="2" t="n"/>
      <c r="E42" s="2" t="n"/>
      <c r="F42" s="2" t="n"/>
    </row>
    <row r="43" ht="15.75" customHeight="1" s="38">
      <c r="A43" s="2" t="n"/>
      <c r="B43" s="2" t="n"/>
      <c r="C43" s="2" t="n"/>
      <c r="D43" s="2" t="n"/>
      <c r="E43" s="2" t="n"/>
      <c r="F43" s="2" t="n"/>
    </row>
    <row r="44" ht="15.75" customHeight="1" s="38">
      <c r="A44" s="2" t="n"/>
      <c r="B44" s="2" t="n"/>
      <c r="C44" s="2" t="n"/>
      <c r="D44" s="2" t="n"/>
      <c r="E44" s="2" t="n"/>
      <c r="F44" s="2" t="n"/>
    </row>
    <row r="45" ht="15.75" customHeight="1" s="38">
      <c r="A45" s="2" t="n"/>
      <c r="B45" s="2" t="n"/>
      <c r="C45" s="2" t="n"/>
      <c r="D45" s="2" t="n"/>
      <c r="E45" s="2" t="n"/>
      <c r="F45" s="2" t="n"/>
    </row>
    <row r="46" ht="15.75" customHeight="1" s="38">
      <c r="A46" s="2" t="n"/>
      <c r="B46" s="2" t="n"/>
      <c r="C46" s="2" t="n"/>
      <c r="D46" s="2" t="n"/>
      <c r="E46" s="2" t="n"/>
      <c r="F46" s="2" t="n"/>
    </row>
    <row r="47" ht="15.75" customHeight="1" s="38">
      <c r="A47" s="2" t="n"/>
      <c r="B47" s="2" t="n"/>
      <c r="C47" s="2" t="n"/>
      <c r="D47" s="2" t="n"/>
      <c r="E47" s="2" t="n"/>
      <c r="F47" s="2" t="n"/>
    </row>
    <row r="48" ht="15.75" customHeight="1" s="38">
      <c r="A48" s="2" t="n"/>
      <c r="B48" s="2" t="n"/>
      <c r="C48" s="2" t="n"/>
      <c r="D48" s="2" t="n"/>
      <c r="E48" s="2" t="n"/>
      <c r="F48" s="2" t="n"/>
    </row>
    <row r="49" ht="15.75" customHeight="1" s="38">
      <c r="A49" s="2" t="n"/>
      <c r="B49" s="2" t="n"/>
      <c r="C49" s="2" t="n"/>
      <c r="D49" s="2" t="n"/>
      <c r="E49" s="2" t="n"/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n"/>
      <c r="B52" s="2" t="n"/>
      <c r="C52" s="2" t="n"/>
      <c r="D52" s="2" t="n"/>
      <c r="E52" s="2" t="n"/>
      <c r="F52" s="2" t="n"/>
    </row>
    <row r="53" ht="15.75" customHeight="1" s="38">
      <c r="A53" s="2" t="n"/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n"/>
      <c r="B55" s="2" t="n"/>
      <c r="C55" s="2" t="n"/>
      <c r="D55" s="2" t="n"/>
      <c r="E55" s="2" t="n"/>
      <c r="F55" s="2" t="n"/>
    </row>
    <row r="56" ht="15.75" customHeight="1" s="38">
      <c r="A56" s="2" t="n"/>
      <c r="B56" s="2" t="n"/>
      <c r="C56" s="2" t="n"/>
      <c r="D56" s="2" t="n"/>
      <c r="E56" s="2" t="n"/>
      <c r="F56" s="2" t="n"/>
    </row>
    <row r="57" ht="15.75" customHeight="1" s="38">
      <c r="A57" s="2" t="n"/>
      <c r="B57" s="2" t="n"/>
      <c r="C57" s="2" t="n"/>
      <c r="D57" s="2" t="n"/>
      <c r="E57" s="2" t="n"/>
      <c r="F57" s="2" t="n"/>
    </row>
    <row r="58" ht="15.75" customHeight="1" s="38">
      <c r="A58" s="2" t="n"/>
      <c r="B58" s="2" t="n"/>
      <c r="C58" s="2" t="n"/>
      <c r="D58" s="2" t="n"/>
      <c r="E58" s="2" t="n"/>
      <c r="F58" s="2" t="n"/>
    </row>
    <row r="59" ht="15.75" customHeight="1" s="38">
      <c r="A59" s="2" t="n"/>
      <c r="B59" s="2" t="n"/>
      <c r="C59" s="2" t="n"/>
      <c r="D59" s="2" t="n"/>
      <c r="E59" s="2" t="n"/>
      <c r="F59" s="2" t="n"/>
    </row>
    <row r="60" ht="15.75" customHeight="1" s="38">
      <c r="A60" s="2" t="n"/>
      <c r="B60" s="2" t="n"/>
      <c r="C60" s="2" t="n"/>
      <c r="D60" s="2" t="n"/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n"/>
      <c r="B62" s="2" t="n"/>
      <c r="C62" s="2" t="n"/>
      <c r="D62" s="2" t="n"/>
      <c r="E62" s="2" t="n"/>
      <c r="F62" s="2" t="n"/>
    </row>
    <row r="63" ht="15.75" customHeight="1" s="38">
      <c r="A63" s="2" t="n"/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n"/>
      <c r="B65" s="2" t="n"/>
      <c r="C65" s="2" t="n"/>
      <c r="D65" s="2" t="n"/>
      <c r="E65" s="2" t="n"/>
      <c r="F65" s="2" t="n"/>
    </row>
    <row r="66" ht="15.75" customHeight="1" s="38">
      <c r="A66" s="2" t="n"/>
      <c r="B66" s="2" t="n"/>
      <c r="C66" s="2" t="n"/>
      <c r="D66" s="2" t="n"/>
      <c r="E66" s="2" t="n"/>
      <c r="F66" s="2" t="n"/>
    </row>
    <row r="67" ht="15.75" customHeight="1" s="38">
      <c r="A67" s="2" t="n"/>
      <c r="B67" s="2" t="n"/>
      <c r="C67" s="2" t="n"/>
      <c r="D67" s="2" t="n"/>
      <c r="E67" s="2" t="n"/>
      <c r="F67" s="2" t="n"/>
    </row>
    <row r="68" ht="15.75" customHeight="1" s="38">
      <c r="A68" s="2" t="n"/>
      <c r="B68" s="2" t="n"/>
      <c r="C68" s="2" t="n"/>
      <c r="D68" s="2" t="n"/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n"/>
      <c r="B70" s="2" t="n"/>
      <c r="C70" s="2" t="n"/>
      <c r="D70" s="2" t="n"/>
      <c r="E70" s="2" t="n"/>
      <c r="F70" s="2" t="n"/>
    </row>
    <row r="71" ht="15.75" customHeight="1" s="38">
      <c r="A71" s="2" t="n"/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n"/>
      <c r="B73" s="2" t="n"/>
      <c r="C73" s="2" t="n"/>
      <c r="D73" s="2" t="n"/>
      <c r="E73" s="2" t="n"/>
      <c r="F73" s="2" t="n"/>
    </row>
    <row r="74" ht="15.75" customHeight="1" s="38">
      <c r="A74" s="2" t="n"/>
      <c r="B74" s="2" t="n"/>
      <c r="C74" s="2" t="n"/>
      <c r="D74" s="2" t="n"/>
      <c r="E74" s="2" t="n"/>
      <c r="F74" s="2" t="n"/>
    </row>
    <row r="75" ht="15.75" customHeight="1" s="38">
      <c r="A75" s="2" t="n"/>
      <c r="B75" s="2" t="n"/>
      <c r="C75" s="2" t="n"/>
      <c r="D75" s="2" t="n"/>
      <c r="E75" s="2" t="n"/>
      <c r="F75" s="2" t="n"/>
    </row>
    <row r="76" ht="15.75" customHeight="1" s="38">
      <c r="A76" s="2" t="n"/>
      <c r="B76" s="2" t="n"/>
      <c r="C76" s="2" t="n"/>
      <c r="D76" s="2" t="n"/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n"/>
      <c r="B78" s="2" t="n"/>
      <c r="C78" s="2" t="n"/>
      <c r="D78" s="2" t="n"/>
      <c r="E78" s="2" t="n"/>
      <c r="F78" s="2" t="n"/>
    </row>
    <row r="79" ht="15.75" customHeight="1" s="38">
      <c r="A79" s="2" t="n"/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n"/>
      <c r="B81" s="2" t="n"/>
      <c r="C81" s="2" t="n"/>
      <c r="D81" s="2" t="n"/>
      <c r="E81" s="2" t="n"/>
      <c r="F81" s="2" t="n"/>
    </row>
    <row r="82" ht="15.75" customHeight="1" s="38">
      <c r="A82" s="2" t="n"/>
      <c r="B82" s="2" t="n"/>
      <c r="C82" s="2" t="n"/>
      <c r="D82" s="2" t="n"/>
      <c r="E82" s="2" t="n"/>
      <c r="F82" s="2" t="n"/>
    </row>
    <row r="83" ht="15.75" customHeight="1" s="38">
      <c r="A83" s="2" t="n"/>
      <c r="B83" s="2" t="n"/>
      <c r="C83" s="2" t="n"/>
      <c r="D83" s="2" t="n"/>
      <c r="E83" s="2" t="n"/>
      <c r="F83" s="2" t="n"/>
    </row>
    <row r="84" ht="15.75" customHeight="1" s="38">
      <c r="A84" s="2" t="n"/>
      <c r="B84" s="2" t="n"/>
      <c r="C84" s="2" t="n"/>
      <c r="D84" s="2" t="n"/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mergeCells count="2">
    <mergeCell ref="A1:D1"/>
    <mergeCell ref="A2:D2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38" min="1" max="1"/>
    <col width="16" customWidth="1" style="38" min="2" max="2"/>
    <col width="20" customWidth="1" style="38" min="3" max="3"/>
    <col width="22" customWidth="1" style="38" min="4" max="5"/>
    <col width="38" customWidth="1" style="38" min="6" max="6"/>
  </cols>
  <sheetData>
    <row r="1" ht="24" customHeight="1" s="38">
      <c r="A1" s="1" t="inlineStr">
        <is>
          <t>Long-haul flights · Air China</t>
        </is>
      </c>
    </row>
    <row r="2" ht="18" customHeight="1" s="38">
      <c r="A2" s="3" t="inlineStr">
        <is>
          <t>AKL → PEK → MUC outbound · MUC → PEK → AKL inbound</t>
        </is>
      </c>
    </row>
    <row r="3">
      <c r="A3" s="2" t="n"/>
      <c r="B3" s="2" t="n"/>
      <c r="C3" s="2" t="n"/>
      <c r="D3" s="2" t="n"/>
      <c r="E3" s="2" t="n"/>
      <c r="F3" s="2" t="n"/>
    </row>
    <row r="4" ht="15" customHeight="1" s="38">
      <c r="A4" s="4" t="inlineStr">
        <is>
          <t>Direction</t>
        </is>
      </c>
      <c r="B4" s="4" t="inlineStr">
        <is>
          <t>Flight</t>
        </is>
      </c>
      <c r="C4" s="4" t="inlineStr">
        <is>
          <t>Route</t>
        </is>
      </c>
      <c r="D4" s="4" t="inlineStr">
        <is>
          <t>Depart</t>
        </is>
      </c>
      <c r="E4" s="4" t="inlineStr">
        <is>
          <t>Arrive</t>
        </is>
      </c>
      <c r="F4" s="4" t="inlineStr">
        <is>
          <t>Aircraft / Notes</t>
        </is>
      </c>
    </row>
    <row r="5" ht="15" customHeight="1" s="38">
      <c r="A5" s="6" t="inlineStr">
        <is>
          <t>Outbound</t>
        </is>
      </c>
      <c r="B5" s="6" t="inlineStr">
        <is>
          <t>CA784</t>
        </is>
      </c>
      <c r="C5" s="6" t="inlineStr">
        <is>
          <t>AKL → PEK</t>
        </is>
      </c>
      <c r="D5" s="6" t="inlineStr">
        <is>
          <t>Thu 9 Jul · 19:30</t>
        </is>
      </c>
      <c r="E5" s="6" t="inlineStr">
        <is>
          <t>Fri 10 Jul · 04:40</t>
        </is>
      </c>
      <c r="F5" s="6" t="inlineStr">
        <is>
          <t>B787-900 · 13h 10m</t>
        </is>
      </c>
    </row>
    <row r="6" ht="15" customHeight="1" s="38">
      <c r="A6" s="9" t="inlineStr">
        <is>
          <t>Outbound</t>
        </is>
      </c>
      <c r="B6" s="9" t="inlineStr">
        <is>
          <t>— stopover —</t>
        </is>
      </c>
      <c r="C6" s="9" t="inlineStr">
        <is>
          <t>Beijing 22h 10m</t>
        </is>
      </c>
      <c r="D6" s="9" t="inlineStr">
        <is>
          <t>—</t>
        </is>
      </c>
      <c r="E6" s="9" t="inlineStr">
        <is>
          <t>—</t>
        </is>
      </c>
      <c r="F6" s="9" t="inlineStr">
        <is>
          <t>Forbidden City + Tiananmen Square</t>
        </is>
      </c>
    </row>
    <row r="7" ht="15" customHeight="1" s="38">
      <c r="A7" s="6" t="inlineStr">
        <is>
          <t>Outbound</t>
        </is>
      </c>
      <c r="B7" s="6" t="inlineStr">
        <is>
          <t>CA961</t>
        </is>
      </c>
      <c r="C7" s="6" t="inlineStr">
        <is>
          <t>PEK → MUC</t>
        </is>
      </c>
      <c r="D7" s="6" t="inlineStr">
        <is>
          <t>Sat 11 Jul · 02:50</t>
        </is>
      </c>
      <c r="E7" s="6" t="inlineStr">
        <is>
          <t>Sat 11 Jul · 07:05</t>
        </is>
      </c>
      <c r="F7" s="6" t="inlineStr">
        <is>
          <t>B777-300ER · 10h 15m</t>
        </is>
      </c>
    </row>
    <row r="8" ht="15" customHeight="1" s="38">
      <c r="A8" s="6" t="inlineStr">
        <is>
          <t>Inbound</t>
        </is>
      </c>
      <c r="B8" s="6" t="inlineStr">
        <is>
          <t>CA962</t>
        </is>
      </c>
      <c r="C8" s="6" t="inlineStr">
        <is>
          <t>MUC → PEK</t>
        </is>
      </c>
      <c r="D8" s="6" t="inlineStr">
        <is>
          <t>Thu 6 Aug · 13:00</t>
        </is>
      </c>
      <c r="E8" s="6" t="inlineStr">
        <is>
          <t>Fri 7 Aug · 04:45</t>
        </is>
      </c>
      <c r="F8" s="6" t="inlineStr">
        <is>
          <t>9h 45m · check-in by 10:30</t>
        </is>
      </c>
    </row>
    <row r="9" ht="15" customHeight="1" s="38">
      <c r="A9" s="9" t="inlineStr">
        <is>
          <t>Inbound</t>
        </is>
      </c>
      <c r="B9" s="9" t="inlineStr">
        <is>
          <t>— stopover —</t>
        </is>
      </c>
      <c r="C9" s="9" t="inlineStr">
        <is>
          <t>Beijing 19h 20m</t>
        </is>
      </c>
      <c r="D9" s="9" t="inlineStr">
        <is>
          <t>—</t>
        </is>
      </c>
      <c r="E9" s="9" t="inlineStr">
        <is>
          <t>—</t>
        </is>
      </c>
      <c r="F9" s="9" t="inlineStr">
        <is>
          <t>Great Wall at Mutianyu</t>
        </is>
      </c>
    </row>
    <row r="10" ht="15" customHeight="1" s="38">
      <c r="A10" s="6" t="inlineStr">
        <is>
          <t>Inbound</t>
        </is>
      </c>
      <c r="B10" s="6" t="inlineStr">
        <is>
          <t>CA783</t>
        </is>
      </c>
      <c r="C10" s="6" t="inlineStr">
        <is>
          <t>PEK → AKL</t>
        </is>
      </c>
      <c r="D10" s="6" t="inlineStr">
        <is>
          <t>Sat 8 Aug · 00:05</t>
        </is>
      </c>
      <c r="E10" s="6" t="inlineStr">
        <is>
          <t>Sat 8 Aug · 16:30</t>
        </is>
      </c>
      <c r="F10" s="6" t="inlineStr">
        <is>
          <t>12h 25m · home</t>
        </is>
      </c>
    </row>
    <row r="11">
      <c r="A11" s="25" t="inlineStr">
        <is>
          <t>Intra-Europe</t>
        </is>
      </c>
      <c r="B11" s="25" t="inlineStr">
        <is>
          <t>KLM 1796/1325</t>
        </is>
      </c>
      <c r="C11" s="25" t="inlineStr">
        <is>
          <t>MUC → AMS → TLS</t>
        </is>
      </c>
      <c r="D11" s="25" t="inlineStr">
        <is>
          <t>Tue 28 Jul · 11:50 MUC dep</t>
        </is>
      </c>
      <c r="E11" s="25" t="inlineStr">
        <is>
          <t>Tue 28 Jul · 16:15 TLS arr</t>
        </is>
      </c>
      <c r="F11" s="25" t="inlineStr">
        <is>
          <t>4h 25m · via Schiphol layover · KLM family-friendly</t>
        </is>
      </c>
    </row>
    <row r="12" ht="15" customHeight="1" s="38">
      <c r="A12" s="25" t="inlineStr">
        <is>
          <t>Intra-Europe</t>
        </is>
      </c>
    </row>
    <row r="13" ht="36" customHeight="1" s="38">
      <c r="A13" s="25" t="inlineStr">
        <is>
          <t>Intra-Europe</t>
        </is>
      </c>
      <c r="B13" s="25" t="inlineStr">
        <is>
          <t>SAS / Norwegian (TBD)</t>
        </is>
      </c>
    </row>
    <row r="14" ht="36" customHeight="1" s="38">
      <c r="A14" s="2" t="n"/>
      <c r="B14" s="2" t="n"/>
    </row>
    <row r="15" ht="36" customHeight="1" s="38">
      <c r="A15" s="34" t="inlineStr">
        <is>
          <t>BEIJING STOPOVER NOTES</t>
        </is>
      </c>
      <c r="B15" s="2" t="n"/>
    </row>
    <row r="16" ht="36" customHeight="1" s="38">
      <c r="A16" s="5" t="inlineStr">
        <is>
          <t>Outbound (10 Jul · 22 hrs)</t>
        </is>
      </c>
      <c r="B16" s="6" t="inlineStr">
        <is>
          <t>Land 04:40. Novotel T3 airside ~3hrs. Airport Express 08:00 → Dongzhimen (45min, ¥35). Forbidden City opens 08:30, allow 4hrs. Wangfujing lunch. Back T3 by midnight. CA961 02:50.</t>
        </is>
      </c>
      <c r="C16" s="40" t="n"/>
      <c r="D16" s="40" t="n"/>
      <c r="E16" s="40" t="n"/>
      <c r="F16" s="41" t="n"/>
    </row>
    <row r="17" ht="36" customHeight="1" s="38">
      <c r="A17" s="5" t="inlineStr">
        <is>
          <t>Inbound (7 Aug · 19 hrs)</t>
        </is>
      </c>
      <c r="B17" s="6" t="inlineStr">
        <is>
          <t>Land 04:45. Rest ~3hrs. Mutianyu Great Wall ~09:00 (taxi ~1.5hrs from T3). Cable car up, toboggan down. Back T3 by 21:00. CA783 00:05.</t>
        </is>
      </c>
      <c r="C17" s="40" t="n"/>
      <c r="D17" s="40" t="n"/>
      <c r="E17" s="40" t="n"/>
      <c r="F17" s="41" t="n"/>
    </row>
    <row r="18">
      <c r="A18" s="5" t="inlineStr">
        <is>
          <t>144-hr Visa-Free Transit</t>
        </is>
      </c>
      <c r="B18" s="6" t="inlineStr">
        <is>
          <t>NZ passport holders eligible. Confirm at nzembassy.com before departure.</t>
        </is>
      </c>
      <c r="C18" s="27" t="n"/>
      <c r="D18" s="27" t="n"/>
      <c r="E18" s="27" t="n"/>
      <c r="F18" s="28" t="n"/>
    </row>
    <row r="19">
      <c r="A19" s="5" t="inlineStr">
        <is>
          <t>Novotel T3</t>
        </is>
      </c>
      <c r="B19" s="6" t="inlineStr">
        <is>
          <t>Covered walkway to Terminal 3 — no visa needed to stay airside.</t>
        </is>
      </c>
      <c r="C19" s="27" t="n"/>
      <c r="D19" s="27" t="n"/>
      <c r="E19" s="27" t="n"/>
      <c r="F19" s="28" t="n"/>
    </row>
    <row r="20">
      <c r="A20" s="5" t="inlineStr">
        <is>
          <t>Airport Express</t>
        </is>
      </c>
      <c r="B20" s="6" t="inlineStr">
        <is>
          <t>T3 → Dongzhimen 45min, ¥35 (~NZD $8). Subway Line 1 to Tiananmen East (2 stops).</t>
        </is>
      </c>
      <c r="C20" s="27" t="n"/>
      <c r="D20" s="27" t="n"/>
      <c r="E20" s="27" t="n"/>
      <c r="F20" s="28" t="n"/>
    </row>
    <row r="21" ht="15.75" customHeight="1" s="38">
      <c r="A21" s="2" t="n"/>
      <c r="B21" s="2" t="n"/>
      <c r="C21" s="2" t="n"/>
      <c r="D21" s="2" t="n"/>
      <c r="E21" s="2" t="n"/>
      <c r="F21" s="2" t="n"/>
    </row>
    <row r="22" ht="15.75" customHeight="1" s="38">
      <c r="A22" s="2" t="n"/>
      <c r="B22" s="2" t="n"/>
      <c r="C22" s="2" t="n"/>
      <c r="D22" s="2" t="n"/>
      <c r="E22" s="2" t="n"/>
      <c r="F22" s="2" t="n"/>
    </row>
    <row r="23" ht="15.75" customHeight="1" s="38">
      <c r="A23" s="2" t="n"/>
      <c r="B23" s="2" t="n"/>
      <c r="C23" s="2" t="n"/>
      <c r="D23" s="2" t="n"/>
      <c r="E23" s="2" t="n"/>
      <c r="F23" s="2" t="n"/>
    </row>
    <row r="24" ht="15.75" customHeight="1" s="38">
      <c r="A24" s="2" t="n"/>
      <c r="B24" s="2" t="n"/>
      <c r="C24" s="2" t="n"/>
      <c r="D24" s="2" t="n"/>
      <c r="E24" s="2" t="n"/>
      <c r="F24" s="2" t="n"/>
    </row>
    <row r="25" ht="15.75" customHeight="1" s="38">
      <c r="A25" s="2" t="n"/>
      <c r="B25" s="2" t="n"/>
      <c r="C25" s="2" t="n"/>
      <c r="D25" s="2" t="n"/>
      <c r="E25" s="2" t="n"/>
      <c r="F25" s="2" t="n"/>
    </row>
    <row r="26" ht="15.75" customHeight="1" s="38">
      <c r="A26" s="2" t="n"/>
      <c r="B26" s="2" t="n"/>
      <c r="C26" s="2" t="n"/>
      <c r="D26" s="2" t="n"/>
      <c r="E26" s="2" t="n"/>
      <c r="F26" s="2" t="n"/>
    </row>
    <row r="27" ht="15.75" customHeight="1" s="38">
      <c r="A27" s="2" t="n"/>
      <c r="B27" s="2" t="n"/>
      <c r="C27" s="2" t="n"/>
      <c r="D27" s="2" t="n"/>
      <c r="E27" s="2" t="n"/>
      <c r="F27" s="2" t="n"/>
    </row>
    <row r="28" ht="15.75" customHeight="1" s="38">
      <c r="A28" s="2" t="n"/>
      <c r="B28" s="2" t="n"/>
      <c r="C28" s="2" t="n"/>
      <c r="D28" s="2" t="n"/>
      <c r="E28" s="2" t="n"/>
      <c r="F28" s="2" t="n"/>
    </row>
    <row r="29" ht="15.75" customHeight="1" s="38">
      <c r="A29" s="2" t="n"/>
      <c r="B29" s="2" t="n"/>
      <c r="C29" s="2" t="n"/>
      <c r="D29" s="2" t="n"/>
      <c r="E29" s="2" t="n"/>
      <c r="F29" s="2" t="n"/>
    </row>
    <row r="30" ht="15.75" customHeight="1" s="38">
      <c r="A30" s="2" t="n"/>
      <c r="B30" s="2" t="n"/>
      <c r="C30" s="2" t="n"/>
      <c r="D30" s="2" t="n"/>
      <c r="E30" s="2" t="n"/>
      <c r="F30" s="2" t="n"/>
    </row>
    <row r="31" ht="15.75" customHeight="1" s="38">
      <c r="A31" s="2" t="n"/>
      <c r="B31" s="2" t="n"/>
      <c r="C31" s="2" t="n"/>
      <c r="D31" s="2" t="n"/>
      <c r="E31" s="2" t="n"/>
      <c r="F31" s="2" t="n"/>
    </row>
    <row r="32" ht="15.75" customHeight="1" s="38">
      <c r="A32" s="2" t="n"/>
      <c r="B32" s="2" t="n"/>
      <c r="C32" s="2" t="n"/>
      <c r="D32" s="2" t="n"/>
      <c r="E32" s="2" t="n"/>
      <c r="F32" s="2" t="n"/>
    </row>
    <row r="33" ht="15.75" customHeight="1" s="38">
      <c r="A33" s="2" t="n"/>
      <c r="B33" s="2" t="n"/>
      <c r="C33" s="2" t="n"/>
      <c r="D33" s="2" t="n"/>
      <c r="E33" s="2" t="n"/>
      <c r="F33" s="2" t="n"/>
    </row>
    <row r="34" ht="15.75" customHeight="1" s="38">
      <c r="A34" s="2" t="n"/>
      <c r="B34" s="2" t="n"/>
      <c r="C34" s="2" t="n"/>
      <c r="D34" s="2" t="n"/>
      <c r="E34" s="2" t="n"/>
      <c r="F34" s="2" t="n"/>
    </row>
    <row r="35" ht="15.75" customHeight="1" s="38">
      <c r="A35" s="2" t="n"/>
      <c r="B35" s="2" t="n"/>
      <c r="C35" s="2" t="n"/>
      <c r="D35" s="2" t="n"/>
      <c r="E35" s="2" t="n"/>
      <c r="F35" s="2" t="n"/>
    </row>
    <row r="36" ht="15.75" customHeight="1" s="38">
      <c r="A36" s="2" t="n"/>
      <c r="B36" s="2" t="n"/>
      <c r="C36" s="2" t="n"/>
      <c r="D36" s="2" t="n"/>
      <c r="E36" s="2" t="n"/>
      <c r="F36" s="2" t="n"/>
    </row>
    <row r="37" ht="15.75" customHeight="1" s="38">
      <c r="A37" s="2" t="n"/>
      <c r="B37" s="2" t="n"/>
      <c r="C37" s="2" t="n"/>
      <c r="D37" s="2" t="n"/>
      <c r="E37" s="2" t="n"/>
      <c r="F37" s="2" t="n"/>
    </row>
    <row r="38" ht="15.75" customHeight="1" s="38">
      <c r="A38" s="2" t="n"/>
      <c r="B38" s="2" t="n"/>
      <c r="C38" s="2" t="n"/>
      <c r="D38" s="2" t="n"/>
      <c r="E38" s="2" t="n"/>
      <c r="F38" s="2" t="n"/>
    </row>
    <row r="39" ht="15.75" customHeight="1" s="38">
      <c r="A39" s="2" t="n"/>
      <c r="B39" s="2" t="n"/>
      <c r="C39" s="2" t="n"/>
      <c r="D39" s="2" t="n"/>
      <c r="E39" s="2" t="n"/>
      <c r="F39" s="2" t="n"/>
    </row>
    <row r="40" ht="15.75" customHeight="1" s="38">
      <c r="A40" s="2" t="n"/>
      <c r="B40" s="2" t="n"/>
      <c r="C40" s="2" t="n"/>
      <c r="D40" s="2" t="n"/>
      <c r="E40" s="2" t="n"/>
      <c r="F40" s="2" t="n"/>
    </row>
    <row r="41" ht="15.75" customHeight="1" s="38">
      <c r="A41" s="2" t="n"/>
      <c r="B41" s="2" t="n"/>
      <c r="C41" s="2" t="n"/>
      <c r="D41" s="2" t="n"/>
      <c r="E41" s="2" t="n"/>
      <c r="F41" s="2" t="n"/>
    </row>
    <row r="42" ht="15.75" customHeight="1" s="38">
      <c r="A42" s="2" t="n"/>
      <c r="B42" s="2" t="n"/>
      <c r="C42" s="2" t="n"/>
      <c r="D42" s="2" t="n"/>
      <c r="E42" s="2" t="n"/>
      <c r="F42" s="2" t="n"/>
    </row>
    <row r="43" ht="15.75" customHeight="1" s="38">
      <c r="A43" s="2" t="n"/>
      <c r="B43" s="2" t="n"/>
      <c r="C43" s="2" t="n"/>
      <c r="D43" s="2" t="n"/>
      <c r="E43" s="2" t="n"/>
      <c r="F43" s="2" t="n"/>
    </row>
    <row r="44" ht="15.75" customHeight="1" s="38">
      <c r="A44" s="2" t="n"/>
      <c r="B44" s="2" t="n"/>
      <c r="C44" s="2" t="n"/>
      <c r="D44" s="2" t="n"/>
      <c r="E44" s="2" t="n"/>
      <c r="F44" s="2" t="n"/>
    </row>
    <row r="45" ht="15.75" customHeight="1" s="38">
      <c r="A45" s="2" t="n"/>
      <c r="B45" s="2" t="n"/>
      <c r="C45" s="2" t="n"/>
      <c r="D45" s="2" t="n"/>
      <c r="E45" s="2" t="n"/>
      <c r="F45" s="2" t="n"/>
    </row>
    <row r="46" ht="15.75" customHeight="1" s="38">
      <c r="A46" s="2" t="n"/>
      <c r="B46" s="2" t="n"/>
      <c r="C46" s="2" t="n"/>
      <c r="D46" s="2" t="n"/>
      <c r="E46" s="2" t="n"/>
      <c r="F46" s="2" t="n"/>
    </row>
    <row r="47" ht="15.75" customHeight="1" s="38">
      <c r="A47" s="2" t="n"/>
      <c r="B47" s="2" t="n"/>
      <c r="C47" s="2" t="n"/>
      <c r="D47" s="2" t="n"/>
      <c r="E47" s="2" t="n"/>
      <c r="F47" s="2" t="n"/>
    </row>
    <row r="48" ht="15.75" customHeight="1" s="38">
      <c r="A48" s="2" t="n"/>
      <c r="B48" s="2" t="n"/>
      <c r="C48" s="2" t="n"/>
      <c r="D48" s="2" t="n"/>
      <c r="E48" s="2" t="n"/>
      <c r="F48" s="2" t="n"/>
    </row>
    <row r="49" ht="15.75" customHeight="1" s="38">
      <c r="A49" s="2" t="n"/>
      <c r="B49" s="2" t="n"/>
      <c r="C49" s="2" t="n"/>
      <c r="D49" s="2" t="n"/>
      <c r="E49" s="2" t="n"/>
      <c r="F49" s="2" t="n"/>
    </row>
    <row r="50" ht="15.75" customHeight="1" s="38">
      <c r="A50" s="2" t="n"/>
      <c r="B50" s="2" t="n"/>
      <c r="C50" s="2" t="n"/>
      <c r="D50" s="2" t="n"/>
      <c r="E50" s="2" t="n"/>
      <c r="F50" s="2" t="n"/>
    </row>
    <row r="51" ht="15.75" customHeight="1" s="38">
      <c r="A51" s="2" t="n"/>
      <c r="B51" s="2" t="n"/>
      <c r="C51" s="2" t="n"/>
      <c r="D51" s="2" t="n"/>
      <c r="E51" s="2" t="n"/>
      <c r="F51" s="2" t="n"/>
    </row>
    <row r="52" ht="15.75" customHeight="1" s="38">
      <c r="A52" s="2" t="n"/>
      <c r="B52" s="2" t="n"/>
      <c r="C52" s="2" t="n"/>
      <c r="D52" s="2" t="n"/>
      <c r="E52" s="2" t="n"/>
      <c r="F52" s="2" t="n"/>
    </row>
    <row r="53" ht="15.75" customHeight="1" s="38">
      <c r="A53" s="2" t="n"/>
      <c r="B53" s="2" t="n"/>
      <c r="C53" s="2" t="n"/>
      <c r="D53" s="2" t="n"/>
      <c r="E53" s="2" t="n"/>
      <c r="F53" s="2" t="n"/>
    </row>
    <row r="54" ht="15.75" customHeight="1" s="38">
      <c r="A54" s="2" t="n"/>
      <c r="B54" s="2" t="n"/>
      <c r="C54" s="2" t="n"/>
      <c r="D54" s="2" t="n"/>
      <c r="E54" s="2" t="n"/>
      <c r="F54" s="2" t="n"/>
    </row>
    <row r="55" ht="15.75" customHeight="1" s="38">
      <c r="A55" s="2" t="n"/>
      <c r="B55" s="2" t="n"/>
      <c r="C55" s="2" t="n"/>
      <c r="D55" s="2" t="n"/>
      <c r="E55" s="2" t="n"/>
      <c r="F55" s="2" t="n"/>
    </row>
    <row r="56" ht="15.75" customHeight="1" s="38">
      <c r="A56" s="2" t="n"/>
      <c r="B56" s="2" t="n"/>
      <c r="C56" s="2" t="n"/>
      <c r="D56" s="2" t="n"/>
      <c r="E56" s="2" t="n"/>
      <c r="F56" s="2" t="n"/>
    </row>
    <row r="57" ht="15.75" customHeight="1" s="38">
      <c r="A57" s="2" t="n"/>
      <c r="B57" s="2" t="n"/>
      <c r="C57" s="2" t="n"/>
      <c r="D57" s="2" t="n"/>
      <c r="E57" s="2" t="n"/>
      <c r="F57" s="2" t="n"/>
    </row>
    <row r="58" ht="15.75" customHeight="1" s="38">
      <c r="A58" s="2" t="n"/>
      <c r="B58" s="2" t="n"/>
      <c r="C58" s="2" t="n"/>
      <c r="D58" s="2" t="n"/>
      <c r="E58" s="2" t="n"/>
      <c r="F58" s="2" t="n"/>
    </row>
    <row r="59" ht="15.75" customHeight="1" s="38">
      <c r="A59" s="2" t="n"/>
      <c r="B59" s="2" t="n"/>
      <c r="C59" s="2" t="n"/>
      <c r="D59" s="2" t="n"/>
      <c r="E59" s="2" t="n"/>
      <c r="F59" s="2" t="n"/>
    </row>
    <row r="60" ht="15.75" customHeight="1" s="38">
      <c r="A60" s="2" t="n"/>
      <c r="B60" s="2" t="n"/>
      <c r="C60" s="2" t="n"/>
      <c r="D60" s="2" t="n"/>
      <c r="E60" s="2" t="n"/>
      <c r="F60" s="2" t="n"/>
    </row>
    <row r="61" ht="15.75" customHeight="1" s="38">
      <c r="A61" s="2" t="n"/>
      <c r="B61" s="2" t="n"/>
      <c r="C61" s="2" t="n"/>
      <c r="D61" s="2" t="n"/>
      <c r="E61" s="2" t="n"/>
      <c r="F61" s="2" t="n"/>
    </row>
    <row r="62" ht="15.75" customHeight="1" s="38">
      <c r="A62" s="2" t="n"/>
      <c r="B62" s="2" t="n"/>
      <c r="C62" s="2" t="n"/>
      <c r="D62" s="2" t="n"/>
      <c r="E62" s="2" t="n"/>
      <c r="F62" s="2" t="n"/>
    </row>
    <row r="63" ht="15.75" customHeight="1" s="38">
      <c r="A63" s="2" t="n"/>
      <c r="B63" s="2" t="n"/>
      <c r="C63" s="2" t="n"/>
      <c r="D63" s="2" t="n"/>
      <c r="E63" s="2" t="n"/>
      <c r="F63" s="2" t="n"/>
    </row>
    <row r="64" ht="15.75" customHeight="1" s="38">
      <c r="A64" s="2" t="n"/>
      <c r="B64" s="2" t="n"/>
      <c r="C64" s="2" t="n"/>
      <c r="D64" s="2" t="n"/>
      <c r="E64" s="2" t="n"/>
      <c r="F64" s="2" t="n"/>
    </row>
    <row r="65" ht="15.75" customHeight="1" s="38">
      <c r="A65" s="2" t="n"/>
      <c r="B65" s="2" t="n"/>
      <c r="C65" s="2" t="n"/>
      <c r="D65" s="2" t="n"/>
      <c r="E65" s="2" t="n"/>
      <c r="F65" s="2" t="n"/>
    </row>
    <row r="66" ht="15.75" customHeight="1" s="38">
      <c r="A66" s="2" t="n"/>
      <c r="B66" s="2" t="n"/>
      <c r="C66" s="2" t="n"/>
      <c r="D66" s="2" t="n"/>
      <c r="E66" s="2" t="n"/>
      <c r="F66" s="2" t="n"/>
    </row>
    <row r="67" ht="15.75" customHeight="1" s="38">
      <c r="A67" s="2" t="n"/>
      <c r="B67" s="2" t="n"/>
      <c r="C67" s="2" t="n"/>
      <c r="D67" s="2" t="n"/>
      <c r="E67" s="2" t="n"/>
      <c r="F67" s="2" t="n"/>
    </row>
    <row r="68" ht="15.75" customHeight="1" s="38">
      <c r="A68" s="2" t="n"/>
      <c r="B68" s="2" t="n"/>
      <c r="C68" s="2" t="n"/>
      <c r="D68" s="2" t="n"/>
      <c r="E68" s="2" t="n"/>
      <c r="F68" s="2" t="n"/>
    </row>
    <row r="69" ht="15.75" customHeight="1" s="38">
      <c r="A69" s="2" t="n"/>
      <c r="B69" s="2" t="n"/>
      <c r="C69" s="2" t="n"/>
      <c r="D69" s="2" t="n"/>
      <c r="E69" s="2" t="n"/>
      <c r="F69" s="2" t="n"/>
    </row>
    <row r="70" ht="15.75" customHeight="1" s="38">
      <c r="A70" s="2" t="n"/>
      <c r="B70" s="2" t="n"/>
      <c r="C70" s="2" t="n"/>
      <c r="D70" s="2" t="n"/>
      <c r="E70" s="2" t="n"/>
      <c r="F70" s="2" t="n"/>
    </row>
    <row r="71" ht="15.75" customHeight="1" s="38">
      <c r="A71" s="2" t="n"/>
      <c r="B71" s="2" t="n"/>
      <c r="C71" s="2" t="n"/>
      <c r="D71" s="2" t="n"/>
      <c r="E71" s="2" t="n"/>
      <c r="F71" s="2" t="n"/>
    </row>
    <row r="72" ht="15.75" customHeight="1" s="38">
      <c r="A72" s="2" t="n"/>
      <c r="B72" s="2" t="n"/>
      <c r="C72" s="2" t="n"/>
      <c r="D72" s="2" t="n"/>
      <c r="E72" s="2" t="n"/>
      <c r="F72" s="2" t="n"/>
    </row>
    <row r="73" ht="15.75" customHeight="1" s="38">
      <c r="A73" s="2" t="n"/>
      <c r="B73" s="2" t="n"/>
      <c r="C73" s="2" t="n"/>
      <c r="D73" s="2" t="n"/>
      <c r="E73" s="2" t="n"/>
      <c r="F73" s="2" t="n"/>
    </row>
    <row r="74" ht="15.75" customHeight="1" s="38">
      <c r="A74" s="2" t="n"/>
      <c r="B74" s="2" t="n"/>
      <c r="C74" s="2" t="n"/>
      <c r="D74" s="2" t="n"/>
      <c r="E74" s="2" t="n"/>
      <c r="F74" s="2" t="n"/>
    </row>
    <row r="75" ht="15.75" customHeight="1" s="38">
      <c r="A75" s="2" t="n"/>
      <c r="B75" s="2" t="n"/>
      <c r="C75" s="2" t="n"/>
      <c r="D75" s="2" t="n"/>
      <c r="E75" s="2" t="n"/>
      <c r="F75" s="2" t="n"/>
    </row>
    <row r="76" ht="15.75" customHeight="1" s="38">
      <c r="A76" s="2" t="n"/>
      <c r="B76" s="2" t="n"/>
      <c r="C76" s="2" t="n"/>
      <c r="D76" s="2" t="n"/>
      <c r="E76" s="2" t="n"/>
      <c r="F76" s="2" t="n"/>
    </row>
    <row r="77" ht="15.75" customHeight="1" s="38">
      <c r="A77" s="2" t="n"/>
      <c r="B77" s="2" t="n"/>
      <c r="C77" s="2" t="n"/>
      <c r="D77" s="2" t="n"/>
      <c r="E77" s="2" t="n"/>
      <c r="F77" s="2" t="n"/>
    </row>
    <row r="78" ht="15.75" customHeight="1" s="38">
      <c r="A78" s="2" t="n"/>
      <c r="B78" s="2" t="n"/>
      <c r="C78" s="2" t="n"/>
      <c r="D78" s="2" t="n"/>
      <c r="E78" s="2" t="n"/>
      <c r="F78" s="2" t="n"/>
    </row>
    <row r="79" ht="15.75" customHeight="1" s="38">
      <c r="A79" s="2" t="n"/>
      <c r="B79" s="2" t="n"/>
      <c r="C79" s="2" t="n"/>
      <c r="D79" s="2" t="n"/>
      <c r="E79" s="2" t="n"/>
      <c r="F79" s="2" t="n"/>
    </row>
    <row r="80" ht="15.75" customHeight="1" s="38">
      <c r="A80" s="2" t="n"/>
      <c r="B80" s="2" t="n"/>
      <c r="C80" s="2" t="n"/>
      <c r="D80" s="2" t="n"/>
      <c r="E80" s="2" t="n"/>
      <c r="F80" s="2" t="n"/>
    </row>
    <row r="81" ht="15.75" customHeight="1" s="38">
      <c r="A81" s="2" t="n"/>
      <c r="B81" s="2" t="n"/>
      <c r="C81" s="2" t="n"/>
      <c r="D81" s="2" t="n"/>
      <c r="E81" s="2" t="n"/>
      <c r="F81" s="2" t="n"/>
    </row>
    <row r="82" ht="15.75" customHeight="1" s="38">
      <c r="A82" s="2" t="n"/>
      <c r="B82" s="2" t="n"/>
      <c r="C82" s="2" t="n"/>
      <c r="D82" s="2" t="n"/>
      <c r="E82" s="2" t="n"/>
      <c r="F82" s="2" t="n"/>
    </row>
    <row r="83" ht="15.75" customHeight="1" s="38">
      <c r="A83" s="2" t="n"/>
      <c r="B83" s="2" t="n"/>
      <c r="C83" s="2" t="n"/>
      <c r="D83" s="2" t="n"/>
      <c r="E83" s="2" t="n"/>
      <c r="F83" s="2" t="n"/>
    </row>
    <row r="84" ht="15.75" customHeight="1" s="38">
      <c r="A84" s="2" t="n"/>
      <c r="B84" s="2" t="n"/>
      <c r="C84" s="2" t="n"/>
      <c r="D84" s="2" t="n"/>
      <c r="E84" s="2" t="n"/>
      <c r="F84" s="2" t="n"/>
    </row>
    <row r="85" ht="15.75" customHeight="1" s="38">
      <c r="A85" s="2" t="n"/>
      <c r="B85" s="2" t="n"/>
      <c r="C85" s="2" t="n"/>
      <c r="D85" s="2" t="n"/>
      <c r="E85" s="2" t="n"/>
      <c r="F85" s="2" t="n"/>
    </row>
    <row r="86" ht="15.75" customHeight="1" s="38">
      <c r="A86" s="2" t="n"/>
      <c r="B86" s="2" t="n"/>
      <c r="C86" s="2" t="n"/>
      <c r="D86" s="2" t="n"/>
      <c r="E86" s="2" t="n"/>
      <c r="F86" s="2" t="n"/>
    </row>
    <row r="87" ht="15.75" customHeight="1" s="38">
      <c r="A87" s="2" t="n"/>
      <c r="B87" s="2" t="n"/>
      <c r="C87" s="2" t="n"/>
      <c r="D87" s="2" t="n"/>
      <c r="E87" s="2" t="n"/>
      <c r="F87" s="2" t="n"/>
    </row>
    <row r="88" ht="15.75" customHeight="1" s="38">
      <c r="A88" s="2" t="n"/>
      <c r="B88" s="2" t="n"/>
      <c r="C88" s="2" t="n"/>
      <c r="D88" s="2" t="n"/>
      <c r="E88" s="2" t="n"/>
      <c r="F88" s="2" t="n"/>
    </row>
    <row r="89" ht="15.75" customHeight="1" s="38">
      <c r="A89" s="2" t="n"/>
      <c r="B89" s="2" t="n"/>
      <c r="C89" s="2" t="n"/>
      <c r="D89" s="2" t="n"/>
      <c r="E89" s="2" t="n"/>
      <c r="F89" s="2" t="n"/>
    </row>
    <row r="90" ht="15.75" customHeight="1" s="38">
      <c r="A90" s="2" t="n"/>
      <c r="B90" s="2" t="n"/>
      <c r="C90" s="2" t="n"/>
      <c r="D90" s="2" t="n"/>
      <c r="E90" s="2" t="n"/>
      <c r="F90" s="2" t="n"/>
    </row>
    <row r="91" ht="15.75" customHeight="1" s="38">
      <c r="A91" s="2" t="n"/>
      <c r="B91" s="2" t="n"/>
      <c r="C91" s="2" t="n"/>
      <c r="D91" s="2" t="n"/>
      <c r="E91" s="2" t="n"/>
      <c r="F91" s="2" t="n"/>
    </row>
    <row r="92" ht="15.75" customHeight="1" s="38">
      <c r="A92" s="2" t="n"/>
      <c r="B92" s="2" t="n"/>
      <c r="C92" s="2" t="n"/>
      <c r="D92" s="2" t="n"/>
      <c r="E92" s="2" t="n"/>
      <c r="F92" s="2" t="n"/>
    </row>
    <row r="93" ht="15.75" customHeight="1" s="38">
      <c r="A93" s="2" t="n"/>
      <c r="B93" s="2" t="n"/>
      <c r="C93" s="2" t="n"/>
      <c r="D93" s="2" t="n"/>
      <c r="E93" s="2" t="n"/>
      <c r="F93" s="2" t="n"/>
    </row>
    <row r="94" ht="15.75" customHeight="1" s="38">
      <c r="A94" s="2" t="n"/>
      <c r="B94" s="2" t="n"/>
      <c r="C94" s="2" t="n"/>
      <c r="D94" s="2" t="n"/>
      <c r="E94" s="2" t="n"/>
      <c r="F94" s="2" t="n"/>
    </row>
    <row r="95" ht="15.75" customHeight="1" s="38">
      <c r="A95" s="2" t="n"/>
      <c r="B95" s="2" t="n"/>
      <c r="C95" s="2" t="n"/>
      <c r="D95" s="2" t="n"/>
      <c r="E95" s="2" t="n"/>
      <c r="F95" s="2" t="n"/>
    </row>
    <row r="96" ht="15.75" customHeight="1" s="38">
      <c r="A96" s="2" t="n"/>
      <c r="B96" s="2" t="n"/>
      <c r="C96" s="2" t="n"/>
      <c r="D96" s="2" t="n"/>
      <c r="E96" s="2" t="n"/>
      <c r="F96" s="2" t="n"/>
    </row>
    <row r="97" ht="15.75" customHeight="1" s="38">
      <c r="A97" s="2" t="n"/>
      <c r="B97" s="2" t="n"/>
      <c r="C97" s="2" t="n"/>
      <c r="D97" s="2" t="n"/>
      <c r="E97" s="2" t="n"/>
      <c r="F97" s="2" t="n"/>
    </row>
    <row r="98" ht="15.75" customHeight="1" s="38">
      <c r="A98" s="2" t="n"/>
      <c r="B98" s="2" t="n"/>
      <c r="C98" s="2" t="n"/>
      <c r="D98" s="2" t="n"/>
      <c r="E98" s="2" t="n"/>
      <c r="F98" s="2" t="n"/>
    </row>
    <row r="99" ht="15.75" customHeight="1" s="38">
      <c r="A99" s="2" t="n"/>
      <c r="B99" s="2" t="n"/>
      <c r="C99" s="2" t="n"/>
      <c r="D99" s="2" t="n"/>
      <c r="E99" s="2" t="n"/>
      <c r="F99" s="2" t="n"/>
    </row>
    <row r="100" ht="15.75" customHeight="1" s="38">
      <c r="A100" s="2" t="n"/>
      <c r="B100" s="2" t="n"/>
      <c r="C100" s="2" t="n"/>
      <c r="D100" s="2" t="n"/>
      <c r="E100" s="2" t="n"/>
      <c r="F100" s="2" t="n"/>
    </row>
    <row r="101" ht="15.75" customHeight="1" s="38">
      <c r="A101" s="2" t="n"/>
      <c r="B101" s="2" t="n"/>
      <c r="C101" s="2" t="n"/>
      <c r="D101" s="2" t="n"/>
      <c r="E101" s="2" t="n"/>
      <c r="F101" s="2" t="n"/>
    </row>
    <row r="102" ht="15.75" customHeight="1" s="38">
      <c r="A102" s="2" t="n"/>
      <c r="B102" s="2" t="n"/>
      <c r="C102" s="2" t="n"/>
      <c r="D102" s="2" t="n"/>
      <c r="E102" s="2" t="n"/>
      <c r="F102" s="2" t="n"/>
    </row>
    <row r="103" ht="15.75" customHeight="1" s="38">
      <c r="A103" s="2" t="n"/>
      <c r="B103" s="2" t="n"/>
      <c r="C103" s="2" t="n"/>
      <c r="D103" s="2" t="n"/>
      <c r="E103" s="2" t="n"/>
      <c r="F103" s="2" t="n"/>
    </row>
    <row r="104" ht="15.75" customHeight="1" s="38">
      <c r="A104" s="2" t="n"/>
      <c r="B104" s="2" t="n"/>
      <c r="C104" s="2" t="n"/>
      <c r="D104" s="2" t="n"/>
      <c r="E104" s="2" t="n"/>
      <c r="F104" s="2" t="n"/>
    </row>
    <row r="105" ht="15.75" customHeight="1" s="38">
      <c r="A105" s="2" t="n"/>
      <c r="B105" s="2" t="n"/>
      <c r="C105" s="2" t="n"/>
      <c r="D105" s="2" t="n"/>
      <c r="E105" s="2" t="n"/>
      <c r="F105" s="2" t="n"/>
    </row>
    <row r="106" ht="15.75" customHeight="1" s="38">
      <c r="A106" s="2" t="n"/>
      <c r="B106" s="2" t="n"/>
      <c r="C106" s="2" t="n"/>
      <c r="D106" s="2" t="n"/>
      <c r="E106" s="2" t="n"/>
      <c r="F106" s="2" t="n"/>
    </row>
    <row r="107" ht="15.75" customHeight="1" s="38">
      <c r="A107" s="2" t="n"/>
      <c r="B107" s="2" t="n"/>
      <c r="C107" s="2" t="n"/>
      <c r="D107" s="2" t="n"/>
      <c r="E107" s="2" t="n"/>
      <c r="F107" s="2" t="n"/>
    </row>
    <row r="108" ht="15.75" customHeight="1" s="38">
      <c r="A108" s="2" t="n"/>
      <c r="B108" s="2" t="n"/>
      <c r="C108" s="2" t="n"/>
      <c r="D108" s="2" t="n"/>
      <c r="E108" s="2" t="n"/>
      <c r="F108" s="2" t="n"/>
    </row>
    <row r="109" ht="15.75" customHeight="1" s="38">
      <c r="A109" s="2" t="n"/>
      <c r="B109" s="2" t="n"/>
      <c r="C109" s="2" t="n"/>
      <c r="D109" s="2" t="n"/>
      <c r="E109" s="2" t="n"/>
      <c r="F109" s="2" t="n"/>
    </row>
    <row r="110" ht="15.75" customHeight="1" s="38">
      <c r="A110" s="2" t="n"/>
      <c r="B110" s="2" t="n"/>
      <c r="C110" s="2" t="n"/>
      <c r="D110" s="2" t="n"/>
      <c r="E110" s="2" t="n"/>
      <c r="F110" s="2" t="n"/>
    </row>
    <row r="111" ht="15.75" customHeight="1" s="38">
      <c r="A111" s="2" t="n"/>
      <c r="B111" s="2" t="n"/>
      <c r="C111" s="2" t="n"/>
      <c r="D111" s="2" t="n"/>
      <c r="E111" s="2" t="n"/>
      <c r="F111" s="2" t="n"/>
    </row>
    <row r="112" ht="15.75" customHeight="1" s="38">
      <c r="A112" s="2" t="n"/>
      <c r="B112" s="2" t="n"/>
      <c r="C112" s="2" t="n"/>
      <c r="D112" s="2" t="n"/>
      <c r="E112" s="2" t="n"/>
      <c r="F112" s="2" t="n"/>
    </row>
    <row r="113" ht="15.75" customHeight="1" s="38">
      <c r="A113" s="2" t="n"/>
      <c r="B113" s="2" t="n"/>
      <c r="C113" s="2" t="n"/>
      <c r="D113" s="2" t="n"/>
      <c r="E113" s="2" t="n"/>
      <c r="F113" s="2" t="n"/>
    </row>
    <row r="114" ht="15.75" customHeight="1" s="38">
      <c r="A114" s="2" t="n"/>
      <c r="B114" s="2" t="n"/>
      <c r="C114" s="2" t="n"/>
      <c r="D114" s="2" t="n"/>
      <c r="E114" s="2" t="n"/>
      <c r="F114" s="2" t="n"/>
    </row>
    <row r="115" ht="15.75" customHeight="1" s="38">
      <c r="A115" s="2" t="n"/>
      <c r="B115" s="2" t="n"/>
      <c r="C115" s="2" t="n"/>
      <c r="D115" s="2" t="n"/>
      <c r="E115" s="2" t="n"/>
      <c r="F115" s="2" t="n"/>
    </row>
    <row r="116" ht="15.75" customHeight="1" s="38">
      <c r="A116" s="2" t="n"/>
      <c r="B116" s="2" t="n"/>
      <c r="C116" s="2" t="n"/>
      <c r="D116" s="2" t="n"/>
      <c r="E116" s="2" t="n"/>
      <c r="F116" s="2" t="n"/>
    </row>
    <row r="117" ht="15.75" customHeight="1" s="38">
      <c r="A117" s="2" t="n"/>
      <c r="B117" s="2" t="n"/>
      <c r="C117" s="2" t="n"/>
      <c r="D117" s="2" t="n"/>
      <c r="E117" s="2" t="n"/>
      <c r="F117" s="2" t="n"/>
    </row>
    <row r="118" ht="15.75" customHeight="1" s="38">
      <c r="A118" s="2" t="n"/>
      <c r="B118" s="2" t="n"/>
      <c r="C118" s="2" t="n"/>
      <c r="D118" s="2" t="n"/>
      <c r="E118" s="2" t="n"/>
      <c r="F118" s="2" t="n"/>
    </row>
    <row r="119" ht="15.75" customHeight="1" s="38">
      <c r="A119" s="2" t="n"/>
      <c r="B119" s="2" t="n"/>
      <c r="C119" s="2" t="n"/>
      <c r="D119" s="2" t="n"/>
      <c r="E119" s="2" t="n"/>
      <c r="F119" s="2" t="n"/>
    </row>
    <row r="120" ht="15.75" customHeight="1" s="38">
      <c r="A120" s="2" t="n"/>
      <c r="B120" s="2" t="n"/>
      <c r="C120" s="2" t="n"/>
      <c r="D120" s="2" t="n"/>
      <c r="E120" s="2" t="n"/>
      <c r="F120" s="2" t="n"/>
    </row>
    <row r="121" ht="15.75" customHeight="1" s="38">
      <c r="A121" s="2" t="n"/>
      <c r="B121" s="2" t="n"/>
      <c r="C121" s="2" t="n"/>
      <c r="D121" s="2" t="n"/>
      <c r="E121" s="2" t="n"/>
      <c r="F121" s="2" t="n"/>
    </row>
    <row r="122" ht="15.75" customHeight="1" s="38">
      <c r="A122" s="2" t="n"/>
      <c r="B122" s="2" t="n"/>
      <c r="C122" s="2" t="n"/>
      <c r="D122" s="2" t="n"/>
      <c r="E122" s="2" t="n"/>
      <c r="F122" s="2" t="n"/>
    </row>
    <row r="123" ht="15.75" customHeight="1" s="38">
      <c r="A123" s="2" t="n"/>
      <c r="B123" s="2" t="n"/>
      <c r="C123" s="2" t="n"/>
      <c r="D123" s="2" t="n"/>
      <c r="E123" s="2" t="n"/>
      <c r="F123" s="2" t="n"/>
    </row>
    <row r="124" ht="15.75" customHeight="1" s="38">
      <c r="A124" s="2" t="n"/>
      <c r="B124" s="2" t="n"/>
      <c r="C124" s="2" t="n"/>
      <c r="D124" s="2" t="n"/>
      <c r="E124" s="2" t="n"/>
      <c r="F124" s="2" t="n"/>
    </row>
    <row r="125" ht="15.75" customHeight="1" s="38">
      <c r="A125" s="2" t="n"/>
      <c r="B125" s="2" t="n"/>
      <c r="C125" s="2" t="n"/>
      <c r="D125" s="2" t="n"/>
      <c r="E125" s="2" t="n"/>
      <c r="F125" s="2" t="n"/>
    </row>
    <row r="126" ht="15.75" customHeight="1" s="38">
      <c r="A126" s="2" t="n"/>
      <c r="B126" s="2" t="n"/>
      <c r="C126" s="2" t="n"/>
      <c r="D126" s="2" t="n"/>
      <c r="E126" s="2" t="n"/>
      <c r="F126" s="2" t="n"/>
    </row>
    <row r="127" ht="15.75" customHeight="1" s="38">
      <c r="A127" s="2" t="n"/>
      <c r="B127" s="2" t="n"/>
      <c r="C127" s="2" t="n"/>
      <c r="D127" s="2" t="n"/>
      <c r="E127" s="2" t="n"/>
      <c r="F127" s="2" t="n"/>
    </row>
    <row r="128" ht="15.75" customHeight="1" s="38">
      <c r="A128" s="2" t="n"/>
      <c r="B128" s="2" t="n"/>
      <c r="C128" s="2" t="n"/>
      <c r="D128" s="2" t="n"/>
      <c r="E128" s="2" t="n"/>
      <c r="F128" s="2" t="n"/>
    </row>
    <row r="129" ht="15.75" customHeight="1" s="38">
      <c r="A129" s="2" t="n"/>
      <c r="B129" s="2" t="n"/>
      <c r="C129" s="2" t="n"/>
      <c r="D129" s="2" t="n"/>
      <c r="E129" s="2" t="n"/>
      <c r="F129" s="2" t="n"/>
    </row>
    <row r="130" ht="15.75" customHeight="1" s="38">
      <c r="A130" s="2" t="n"/>
      <c r="B130" s="2" t="n"/>
      <c r="C130" s="2" t="n"/>
      <c r="D130" s="2" t="n"/>
      <c r="E130" s="2" t="n"/>
      <c r="F130" s="2" t="n"/>
    </row>
    <row r="131" ht="15.75" customHeight="1" s="38">
      <c r="A131" s="2" t="n"/>
      <c r="B131" s="2" t="n"/>
      <c r="C131" s="2" t="n"/>
      <c r="D131" s="2" t="n"/>
      <c r="E131" s="2" t="n"/>
      <c r="F131" s="2" t="n"/>
    </row>
    <row r="132" ht="15.75" customHeight="1" s="38">
      <c r="A132" s="2" t="n"/>
      <c r="B132" s="2" t="n"/>
      <c r="C132" s="2" t="n"/>
      <c r="D132" s="2" t="n"/>
      <c r="E132" s="2" t="n"/>
      <c r="F132" s="2" t="n"/>
    </row>
    <row r="133" ht="15.75" customHeight="1" s="38">
      <c r="A133" s="2" t="n"/>
      <c r="B133" s="2" t="n"/>
      <c r="C133" s="2" t="n"/>
      <c r="D133" s="2" t="n"/>
      <c r="E133" s="2" t="n"/>
      <c r="F133" s="2" t="n"/>
    </row>
    <row r="134" ht="15.75" customHeight="1" s="38">
      <c r="A134" s="2" t="n"/>
      <c r="B134" s="2" t="n"/>
      <c r="C134" s="2" t="n"/>
      <c r="D134" s="2" t="n"/>
      <c r="E134" s="2" t="n"/>
      <c r="F134" s="2" t="n"/>
    </row>
    <row r="135" ht="15.75" customHeight="1" s="38">
      <c r="A135" s="2" t="n"/>
      <c r="B135" s="2" t="n"/>
      <c r="C135" s="2" t="n"/>
      <c r="D135" s="2" t="n"/>
      <c r="E135" s="2" t="n"/>
      <c r="F135" s="2" t="n"/>
    </row>
    <row r="136" ht="15.75" customHeight="1" s="38">
      <c r="A136" s="2" t="n"/>
      <c r="B136" s="2" t="n"/>
      <c r="C136" s="2" t="n"/>
      <c r="D136" s="2" t="n"/>
      <c r="E136" s="2" t="n"/>
      <c r="F136" s="2" t="n"/>
    </row>
    <row r="137" ht="15.75" customHeight="1" s="38">
      <c r="A137" s="2" t="n"/>
      <c r="B137" s="2" t="n"/>
      <c r="C137" s="2" t="n"/>
      <c r="D137" s="2" t="n"/>
      <c r="E137" s="2" t="n"/>
      <c r="F137" s="2" t="n"/>
    </row>
    <row r="138" ht="15.75" customHeight="1" s="38">
      <c r="A138" s="2" t="n"/>
      <c r="B138" s="2" t="n"/>
      <c r="C138" s="2" t="n"/>
      <c r="D138" s="2" t="n"/>
      <c r="E138" s="2" t="n"/>
      <c r="F138" s="2" t="n"/>
    </row>
    <row r="139" ht="15.75" customHeight="1" s="38">
      <c r="A139" s="2" t="n"/>
      <c r="B139" s="2" t="n"/>
      <c r="C139" s="2" t="n"/>
      <c r="D139" s="2" t="n"/>
      <c r="E139" s="2" t="n"/>
      <c r="F139" s="2" t="n"/>
    </row>
    <row r="140" ht="15.75" customHeight="1" s="38">
      <c r="A140" s="2" t="n"/>
      <c r="B140" s="2" t="n"/>
      <c r="C140" s="2" t="n"/>
      <c r="D140" s="2" t="n"/>
      <c r="E140" s="2" t="n"/>
      <c r="F140" s="2" t="n"/>
    </row>
    <row r="141" ht="15.75" customHeight="1" s="38">
      <c r="A141" s="2" t="n"/>
      <c r="B141" s="2" t="n"/>
      <c r="C141" s="2" t="n"/>
      <c r="D141" s="2" t="n"/>
      <c r="E141" s="2" t="n"/>
      <c r="F141" s="2" t="n"/>
    </row>
    <row r="142" ht="15.75" customHeight="1" s="38">
      <c r="A142" s="2" t="n"/>
      <c r="B142" s="2" t="n"/>
      <c r="C142" s="2" t="n"/>
      <c r="D142" s="2" t="n"/>
      <c r="E142" s="2" t="n"/>
      <c r="F142" s="2" t="n"/>
    </row>
    <row r="143" ht="15.75" customHeight="1" s="38">
      <c r="A143" s="2" t="n"/>
      <c r="B143" s="2" t="n"/>
      <c r="C143" s="2" t="n"/>
      <c r="D143" s="2" t="n"/>
      <c r="E143" s="2" t="n"/>
      <c r="F143" s="2" t="n"/>
    </row>
    <row r="144" ht="15.75" customHeight="1" s="38">
      <c r="A144" s="2" t="n"/>
      <c r="B144" s="2" t="n"/>
      <c r="C144" s="2" t="n"/>
      <c r="D144" s="2" t="n"/>
      <c r="E144" s="2" t="n"/>
      <c r="F144" s="2" t="n"/>
    </row>
    <row r="145" ht="15.75" customHeight="1" s="38">
      <c r="A145" s="2" t="n"/>
      <c r="B145" s="2" t="n"/>
      <c r="C145" s="2" t="n"/>
      <c r="D145" s="2" t="n"/>
      <c r="E145" s="2" t="n"/>
      <c r="F145" s="2" t="n"/>
    </row>
    <row r="146" ht="15.75" customHeight="1" s="38">
      <c r="A146" s="2" t="n"/>
      <c r="B146" s="2" t="n"/>
      <c r="C146" s="2" t="n"/>
      <c r="D146" s="2" t="n"/>
      <c r="E146" s="2" t="n"/>
      <c r="F146" s="2" t="n"/>
    </row>
    <row r="147" ht="15.75" customHeight="1" s="38">
      <c r="A147" s="2" t="n"/>
      <c r="B147" s="2" t="n"/>
      <c r="C147" s="2" t="n"/>
      <c r="D147" s="2" t="n"/>
      <c r="E147" s="2" t="n"/>
      <c r="F147" s="2" t="n"/>
    </row>
    <row r="148" ht="15.75" customHeight="1" s="38">
      <c r="A148" s="2" t="n"/>
      <c r="B148" s="2" t="n"/>
      <c r="C148" s="2" t="n"/>
      <c r="D148" s="2" t="n"/>
      <c r="E148" s="2" t="n"/>
      <c r="F148" s="2" t="n"/>
    </row>
    <row r="149" ht="15.75" customHeight="1" s="38">
      <c r="A149" s="2" t="n"/>
      <c r="B149" s="2" t="n"/>
      <c r="C149" s="2" t="n"/>
      <c r="D149" s="2" t="n"/>
      <c r="E149" s="2" t="n"/>
      <c r="F149" s="2" t="n"/>
    </row>
    <row r="150" ht="15.75" customHeight="1" s="38">
      <c r="A150" s="2" t="n"/>
      <c r="B150" s="2" t="n"/>
      <c r="C150" s="2" t="n"/>
      <c r="D150" s="2" t="n"/>
      <c r="E150" s="2" t="n"/>
      <c r="F150" s="2" t="n"/>
    </row>
    <row r="151" ht="15.75" customHeight="1" s="38">
      <c r="A151" s="2" t="n"/>
      <c r="B151" s="2" t="n"/>
      <c r="C151" s="2" t="n"/>
      <c r="D151" s="2" t="n"/>
      <c r="E151" s="2" t="n"/>
      <c r="F151" s="2" t="n"/>
    </row>
    <row r="152" ht="15.75" customHeight="1" s="38">
      <c r="A152" s="2" t="n"/>
      <c r="B152" s="2" t="n"/>
      <c r="C152" s="2" t="n"/>
      <c r="D152" s="2" t="n"/>
      <c r="E152" s="2" t="n"/>
      <c r="F152" s="2" t="n"/>
    </row>
    <row r="153" ht="15.75" customHeight="1" s="38">
      <c r="A153" s="2" t="n"/>
      <c r="B153" s="2" t="n"/>
      <c r="C153" s="2" t="n"/>
      <c r="D153" s="2" t="n"/>
      <c r="E153" s="2" t="n"/>
      <c r="F153" s="2" t="n"/>
    </row>
    <row r="154" ht="15.75" customHeight="1" s="38">
      <c r="A154" s="2" t="n"/>
      <c r="B154" s="2" t="n"/>
      <c r="C154" s="2" t="n"/>
      <c r="D154" s="2" t="n"/>
      <c r="E154" s="2" t="n"/>
      <c r="F154" s="2" t="n"/>
    </row>
    <row r="155" ht="15.75" customHeight="1" s="38">
      <c r="A155" s="2" t="n"/>
      <c r="B155" s="2" t="n"/>
      <c r="C155" s="2" t="n"/>
      <c r="D155" s="2" t="n"/>
      <c r="E155" s="2" t="n"/>
      <c r="F155" s="2" t="n"/>
    </row>
    <row r="156" ht="15.75" customHeight="1" s="38">
      <c r="A156" s="2" t="n"/>
      <c r="B156" s="2" t="n"/>
      <c r="C156" s="2" t="n"/>
      <c r="D156" s="2" t="n"/>
      <c r="E156" s="2" t="n"/>
      <c r="F156" s="2" t="n"/>
    </row>
    <row r="157" ht="15.75" customHeight="1" s="38">
      <c r="A157" s="2" t="n"/>
      <c r="B157" s="2" t="n"/>
      <c r="C157" s="2" t="n"/>
      <c r="D157" s="2" t="n"/>
      <c r="E157" s="2" t="n"/>
      <c r="F157" s="2" t="n"/>
    </row>
    <row r="158" ht="15.75" customHeight="1" s="38">
      <c r="A158" s="2" t="n"/>
      <c r="B158" s="2" t="n"/>
      <c r="C158" s="2" t="n"/>
      <c r="D158" s="2" t="n"/>
      <c r="E158" s="2" t="n"/>
      <c r="F158" s="2" t="n"/>
    </row>
    <row r="159" ht="15.75" customHeight="1" s="38">
      <c r="A159" s="2" t="n"/>
      <c r="B159" s="2" t="n"/>
      <c r="C159" s="2" t="n"/>
      <c r="D159" s="2" t="n"/>
      <c r="E159" s="2" t="n"/>
      <c r="F159" s="2" t="n"/>
    </row>
    <row r="160" ht="15.75" customHeight="1" s="38">
      <c r="A160" s="2" t="n"/>
      <c r="B160" s="2" t="n"/>
      <c r="C160" s="2" t="n"/>
      <c r="D160" s="2" t="n"/>
      <c r="E160" s="2" t="n"/>
      <c r="F160" s="2" t="n"/>
    </row>
    <row r="161" ht="15.75" customHeight="1" s="38">
      <c r="A161" s="2" t="n"/>
      <c r="B161" s="2" t="n"/>
      <c r="C161" s="2" t="n"/>
      <c r="D161" s="2" t="n"/>
      <c r="E161" s="2" t="n"/>
      <c r="F161" s="2" t="n"/>
    </row>
    <row r="162" ht="15.75" customHeight="1" s="38">
      <c r="A162" s="2" t="n"/>
      <c r="B162" s="2" t="n"/>
      <c r="C162" s="2" t="n"/>
      <c r="D162" s="2" t="n"/>
      <c r="E162" s="2" t="n"/>
      <c r="F162" s="2" t="n"/>
    </row>
    <row r="163" ht="15.75" customHeight="1" s="38">
      <c r="A163" s="2" t="n"/>
      <c r="B163" s="2" t="n"/>
      <c r="C163" s="2" t="n"/>
      <c r="D163" s="2" t="n"/>
      <c r="E163" s="2" t="n"/>
      <c r="F163" s="2" t="n"/>
    </row>
    <row r="164" ht="15.75" customHeight="1" s="38">
      <c r="A164" s="2" t="n"/>
      <c r="B164" s="2" t="n"/>
      <c r="C164" s="2" t="n"/>
      <c r="D164" s="2" t="n"/>
      <c r="E164" s="2" t="n"/>
      <c r="F164" s="2" t="n"/>
    </row>
    <row r="165" ht="15.75" customHeight="1" s="38">
      <c r="A165" s="2" t="n"/>
      <c r="B165" s="2" t="n"/>
      <c r="C165" s="2" t="n"/>
      <c r="D165" s="2" t="n"/>
      <c r="E165" s="2" t="n"/>
      <c r="F165" s="2" t="n"/>
    </row>
    <row r="166" ht="15.75" customHeight="1" s="38">
      <c r="A166" s="2" t="n"/>
      <c r="B166" s="2" t="n"/>
      <c r="C166" s="2" t="n"/>
      <c r="D166" s="2" t="n"/>
      <c r="E166" s="2" t="n"/>
      <c r="F166" s="2" t="n"/>
    </row>
    <row r="167" ht="15.75" customHeight="1" s="38">
      <c r="A167" s="2" t="n"/>
      <c r="B167" s="2" t="n"/>
      <c r="C167" s="2" t="n"/>
      <c r="D167" s="2" t="n"/>
      <c r="E167" s="2" t="n"/>
      <c r="F167" s="2" t="n"/>
    </row>
    <row r="168" ht="15.75" customHeight="1" s="38">
      <c r="A168" s="2" t="n"/>
      <c r="B168" s="2" t="n"/>
      <c r="C168" s="2" t="n"/>
      <c r="D168" s="2" t="n"/>
      <c r="E168" s="2" t="n"/>
      <c r="F168" s="2" t="n"/>
    </row>
    <row r="169" ht="15.75" customHeight="1" s="38">
      <c r="A169" s="2" t="n"/>
      <c r="B169" s="2" t="n"/>
      <c r="C169" s="2" t="n"/>
      <c r="D169" s="2" t="n"/>
      <c r="E169" s="2" t="n"/>
      <c r="F169" s="2" t="n"/>
    </row>
    <row r="170" ht="15.75" customHeight="1" s="38">
      <c r="A170" s="2" t="n"/>
      <c r="B170" s="2" t="n"/>
      <c r="C170" s="2" t="n"/>
      <c r="D170" s="2" t="n"/>
      <c r="E170" s="2" t="n"/>
      <c r="F170" s="2" t="n"/>
    </row>
    <row r="171" ht="15.75" customHeight="1" s="38">
      <c r="A171" s="2" t="n"/>
      <c r="B171" s="2" t="n"/>
      <c r="C171" s="2" t="n"/>
      <c r="D171" s="2" t="n"/>
      <c r="E171" s="2" t="n"/>
      <c r="F171" s="2" t="n"/>
    </row>
    <row r="172" ht="15.75" customHeight="1" s="38">
      <c r="A172" s="2" t="n"/>
      <c r="B172" s="2" t="n"/>
      <c r="C172" s="2" t="n"/>
      <c r="D172" s="2" t="n"/>
      <c r="E172" s="2" t="n"/>
      <c r="F172" s="2" t="n"/>
    </row>
    <row r="173" ht="15.75" customHeight="1" s="38">
      <c r="A173" s="2" t="n"/>
      <c r="B173" s="2" t="n"/>
      <c r="C173" s="2" t="n"/>
      <c r="D173" s="2" t="n"/>
      <c r="E173" s="2" t="n"/>
      <c r="F173" s="2" t="n"/>
    </row>
    <row r="174" ht="15.75" customHeight="1" s="38">
      <c r="A174" s="2" t="n"/>
      <c r="B174" s="2" t="n"/>
      <c r="C174" s="2" t="n"/>
      <c r="D174" s="2" t="n"/>
      <c r="E174" s="2" t="n"/>
      <c r="F174" s="2" t="n"/>
    </row>
    <row r="175" ht="15.75" customHeight="1" s="38">
      <c r="A175" s="2" t="n"/>
      <c r="B175" s="2" t="n"/>
      <c r="C175" s="2" t="n"/>
      <c r="D175" s="2" t="n"/>
      <c r="E175" s="2" t="n"/>
      <c r="F175" s="2" t="n"/>
    </row>
    <row r="176" ht="15.75" customHeight="1" s="38">
      <c r="A176" s="2" t="n"/>
      <c r="B176" s="2" t="n"/>
      <c r="C176" s="2" t="n"/>
      <c r="D176" s="2" t="n"/>
      <c r="E176" s="2" t="n"/>
      <c r="F176" s="2" t="n"/>
    </row>
    <row r="177" ht="15.75" customHeight="1" s="38">
      <c r="A177" s="2" t="n"/>
      <c r="B177" s="2" t="n"/>
      <c r="C177" s="2" t="n"/>
      <c r="D177" s="2" t="n"/>
      <c r="E177" s="2" t="n"/>
      <c r="F177" s="2" t="n"/>
    </row>
    <row r="178" ht="15.75" customHeight="1" s="38">
      <c r="A178" s="2" t="n"/>
      <c r="B178" s="2" t="n"/>
      <c r="C178" s="2" t="n"/>
      <c r="D178" s="2" t="n"/>
      <c r="E178" s="2" t="n"/>
      <c r="F178" s="2" t="n"/>
    </row>
    <row r="179" ht="15.75" customHeight="1" s="38">
      <c r="A179" s="2" t="n"/>
      <c r="B179" s="2" t="n"/>
      <c r="C179" s="2" t="n"/>
      <c r="D179" s="2" t="n"/>
      <c r="E179" s="2" t="n"/>
      <c r="F179" s="2" t="n"/>
    </row>
    <row r="180" ht="15.75" customHeight="1" s="38">
      <c r="A180" s="2" t="n"/>
      <c r="B180" s="2" t="n"/>
      <c r="C180" s="2" t="n"/>
      <c r="D180" s="2" t="n"/>
      <c r="E180" s="2" t="n"/>
      <c r="F180" s="2" t="n"/>
    </row>
    <row r="181" ht="15.75" customHeight="1" s="38">
      <c r="A181" s="2" t="n"/>
      <c r="B181" s="2" t="n"/>
      <c r="C181" s="2" t="n"/>
      <c r="D181" s="2" t="n"/>
      <c r="E181" s="2" t="n"/>
      <c r="F181" s="2" t="n"/>
    </row>
    <row r="182" ht="15.75" customHeight="1" s="38">
      <c r="A182" s="2" t="n"/>
      <c r="B182" s="2" t="n"/>
      <c r="C182" s="2" t="n"/>
      <c r="D182" s="2" t="n"/>
      <c r="E182" s="2" t="n"/>
      <c r="F182" s="2" t="n"/>
    </row>
    <row r="183" ht="15.75" customHeight="1" s="38">
      <c r="A183" s="2" t="n"/>
      <c r="B183" s="2" t="n"/>
      <c r="C183" s="2" t="n"/>
      <c r="D183" s="2" t="n"/>
      <c r="E183" s="2" t="n"/>
      <c r="F183" s="2" t="n"/>
    </row>
    <row r="184" ht="15.75" customHeight="1" s="38">
      <c r="A184" s="2" t="n"/>
      <c r="B184" s="2" t="n"/>
      <c r="C184" s="2" t="n"/>
      <c r="D184" s="2" t="n"/>
      <c r="E184" s="2" t="n"/>
      <c r="F184" s="2" t="n"/>
    </row>
    <row r="185" ht="15.75" customHeight="1" s="38">
      <c r="A185" s="2" t="n"/>
      <c r="B185" s="2" t="n"/>
      <c r="C185" s="2" t="n"/>
      <c r="D185" s="2" t="n"/>
      <c r="E185" s="2" t="n"/>
      <c r="F185" s="2" t="n"/>
    </row>
    <row r="186" ht="15.75" customHeight="1" s="38">
      <c r="A186" s="2" t="n"/>
      <c r="B186" s="2" t="n"/>
      <c r="C186" s="2" t="n"/>
      <c r="D186" s="2" t="n"/>
      <c r="E186" s="2" t="n"/>
      <c r="F186" s="2" t="n"/>
    </row>
    <row r="187" ht="15.75" customHeight="1" s="38">
      <c r="A187" s="2" t="n"/>
      <c r="B187" s="2" t="n"/>
      <c r="C187" s="2" t="n"/>
      <c r="D187" s="2" t="n"/>
      <c r="E187" s="2" t="n"/>
      <c r="F187" s="2" t="n"/>
    </row>
    <row r="188" ht="15.75" customHeight="1" s="38">
      <c r="A188" s="2" t="n"/>
      <c r="B188" s="2" t="n"/>
      <c r="C188" s="2" t="n"/>
      <c r="D188" s="2" t="n"/>
      <c r="E188" s="2" t="n"/>
      <c r="F188" s="2" t="n"/>
    </row>
    <row r="189" ht="15.75" customHeight="1" s="38">
      <c r="A189" s="2" t="n"/>
      <c r="B189" s="2" t="n"/>
      <c r="C189" s="2" t="n"/>
      <c r="D189" s="2" t="n"/>
      <c r="E189" s="2" t="n"/>
      <c r="F189" s="2" t="n"/>
    </row>
    <row r="190" ht="15.75" customHeight="1" s="38">
      <c r="A190" s="2" t="n"/>
      <c r="B190" s="2" t="n"/>
      <c r="C190" s="2" t="n"/>
      <c r="D190" s="2" t="n"/>
      <c r="E190" s="2" t="n"/>
      <c r="F190" s="2" t="n"/>
    </row>
    <row r="191" ht="15.75" customHeight="1" s="38">
      <c r="A191" s="2" t="n"/>
      <c r="B191" s="2" t="n"/>
      <c r="C191" s="2" t="n"/>
      <c r="D191" s="2" t="n"/>
      <c r="E191" s="2" t="n"/>
      <c r="F191" s="2" t="n"/>
    </row>
    <row r="192" ht="15.75" customHeight="1" s="38">
      <c r="A192" s="2" t="n"/>
      <c r="B192" s="2" t="n"/>
      <c r="C192" s="2" t="n"/>
      <c r="D192" s="2" t="n"/>
      <c r="E192" s="2" t="n"/>
      <c r="F192" s="2" t="n"/>
    </row>
    <row r="193" ht="15.75" customHeight="1" s="38">
      <c r="A193" s="2" t="n"/>
      <c r="B193" s="2" t="n"/>
      <c r="C193" s="2" t="n"/>
      <c r="D193" s="2" t="n"/>
      <c r="E193" s="2" t="n"/>
      <c r="F193" s="2" t="n"/>
    </row>
    <row r="194" ht="15.75" customHeight="1" s="38">
      <c r="A194" s="2" t="n"/>
      <c r="B194" s="2" t="n"/>
      <c r="C194" s="2" t="n"/>
      <c r="D194" s="2" t="n"/>
      <c r="E194" s="2" t="n"/>
      <c r="F194" s="2" t="n"/>
    </row>
    <row r="195" ht="15.75" customHeight="1" s="38">
      <c r="A195" s="2" t="n"/>
      <c r="B195" s="2" t="n"/>
      <c r="C195" s="2" t="n"/>
      <c r="D195" s="2" t="n"/>
      <c r="E195" s="2" t="n"/>
      <c r="F195" s="2" t="n"/>
    </row>
    <row r="196" ht="15.75" customHeight="1" s="38">
      <c r="A196" s="2" t="n"/>
      <c r="B196" s="2" t="n"/>
      <c r="C196" s="2" t="n"/>
      <c r="D196" s="2" t="n"/>
      <c r="E196" s="2" t="n"/>
      <c r="F196" s="2" t="n"/>
    </row>
    <row r="197" ht="15.75" customHeight="1" s="38">
      <c r="A197" s="2" t="n"/>
      <c r="B197" s="2" t="n"/>
      <c r="C197" s="2" t="n"/>
      <c r="D197" s="2" t="n"/>
      <c r="E197" s="2" t="n"/>
      <c r="F197" s="2" t="n"/>
    </row>
    <row r="198" ht="15.75" customHeight="1" s="38">
      <c r="A198" s="2" t="n"/>
      <c r="B198" s="2" t="n"/>
      <c r="C198" s="2" t="n"/>
      <c r="D198" s="2" t="n"/>
      <c r="E198" s="2" t="n"/>
      <c r="F198" s="2" t="n"/>
    </row>
    <row r="199" ht="15.75" customHeight="1" s="38">
      <c r="A199" s="2" t="n"/>
      <c r="B199" s="2" t="n"/>
      <c r="C199" s="2" t="n"/>
      <c r="D199" s="2" t="n"/>
      <c r="E199" s="2" t="n"/>
      <c r="F199" s="2" t="n"/>
    </row>
    <row r="200" ht="15.75" customHeight="1" s="38">
      <c r="A200" s="2" t="n"/>
      <c r="B200" s="2" t="n"/>
      <c r="C200" s="2" t="n"/>
      <c r="D200" s="2" t="n"/>
      <c r="E200" s="2" t="n"/>
      <c r="F200" s="2" t="n"/>
    </row>
    <row r="201" ht="15.75" customHeight="1" s="38">
      <c r="A201" s="2" t="n"/>
      <c r="B201" s="2" t="n"/>
      <c r="C201" s="2" t="n"/>
      <c r="D201" s="2" t="n"/>
      <c r="E201" s="2" t="n"/>
      <c r="F201" s="2" t="n"/>
    </row>
    <row r="202" ht="15.75" customHeight="1" s="38">
      <c r="A202" s="2" t="n"/>
      <c r="B202" s="2" t="n"/>
      <c r="C202" s="2" t="n"/>
      <c r="D202" s="2" t="n"/>
      <c r="E202" s="2" t="n"/>
      <c r="F202" s="2" t="n"/>
    </row>
    <row r="203" ht="15.75" customHeight="1" s="38">
      <c r="A203" s="2" t="n"/>
      <c r="B203" s="2" t="n"/>
      <c r="C203" s="2" t="n"/>
      <c r="D203" s="2" t="n"/>
      <c r="E203" s="2" t="n"/>
      <c r="F203" s="2" t="n"/>
    </row>
    <row r="204" ht="15.75" customHeight="1" s="38">
      <c r="A204" s="2" t="n"/>
      <c r="B204" s="2" t="n"/>
      <c r="C204" s="2" t="n"/>
      <c r="D204" s="2" t="n"/>
      <c r="E204" s="2" t="n"/>
      <c r="F204" s="2" t="n"/>
    </row>
    <row r="205" ht="15.75" customHeight="1" s="38">
      <c r="A205" s="2" t="n"/>
      <c r="B205" s="2" t="n"/>
      <c r="C205" s="2" t="n"/>
      <c r="D205" s="2" t="n"/>
      <c r="E205" s="2" t="n"/>
      <c r="F205" s="2" t="n"/>
    </row>
    <row r="206" ht="15.75" customHeight="1" s="38">
      <c r="A206" s="2" t="n"/>
      <c r="B206" s="2" t="n"/>
      <c r="C206" s="2" t="n"/>
      <c r="D206" s="2" t="n"/>
      <c r="E206" s="2" t="n"/>
      <c r="F206" s="2" t="n"/>
    </row>
    <row r="207" ht="15.75" customHeight="1" s="38">
      <c r="A207" s="2" t="n"/>
      <c r="B207" s="2" t="n"/>
      <c r="C207" s="2" t="n"/>
      <c r="D207" s="2" t="n"/>
      <c r="E207" s="2" t="n"/>
      <c r="F207" s="2" t="n"/>
    </row>
    <row r="208" ht="15.75" customHeight="1" s="38">
      <c r="A208" s="2" t="n"/>
      <c r="B208" s="2" t="n"/>
      <c r="C208" s="2" t="n"/>
      <c r="D208" s="2" t="n"/>
      <c r="E208" s="2" t="n"/>
      <c r="F208" s="2" t="n"/>
    </row>
    <row r="209" ht="15.75" customHeight="1" s="38">
      <c r="A209" s="2" t="n"/>
      <c r="B209" s="2" t="n"/>
      <c r="C209" s="2" t="n"/>
      <c r="D209" s="2" t="n"/>
      <c r="E209" s="2" t="n"/>
      <c r="F209" s="2" t="n"/>
    </row>
    <row r="210" ht="15.75" customHeight="1" s="38">
      <c r="A210" s="2" t="n"/>
      <c r="B210" s="2" t="n"/>
      <c r="C210" s="2" t="n"/>
      <c r="D210" s="2" t="n"/>
      <c r="E210" s="2" t="n"/>
      <c r="F210" s="2" t="n"/>
    </row>
    <row r="211" ht="15.75" customHeight="1" s="38">
      <c r="A211" s="2" t="n"/>
      <c r="B211" s="2" t="n"/>
      <c r="C211" s="2" t="n"/>
      <c r="D211" s="2" t="n"/>
      <c r="E211" s="2" t="n"/>
      <c r="F211" s="2" t="n"/>
    </row>
    <row r="212" ht="15.75" customHeight="1" s="38">
      <c r="A212" s="2" t="n"/>
      <c r="B212" s="2" t="n"/>
      <c r="C212" s="2" t="n"/>
      <c r="D212" s="2" t="n"/>
      <c r="E212" s="2" t="n"/>
      <c r="F212" s="2" t="n"/>
    </row>
    <row r="213" ht="15.75" customHeight="1" s="38">
      <c r="A213" s="2" t="n"/>
      <c r="B213" s="2" t="n"/>
      <c r="C213" s="2" t="n"/>
      <c r="D213" s="2" t="n"/>
      <c r="E213" s="2" t="n"/>
      <c r="F213" s="2" t="n"/>
    </row>
    <row r="214" ht="15.75" customHeight="1" s="38">
      <c r="A214" s="2" t="n"/>
      <c r="B214" s="2" t="n"/>
      <c r="C214" s="2" t="n"/>
      <c r="D214" s="2" t="n"/>
      <c r="E214" s="2" t="n"/>
      <c r="F214" s="2" t="n"/>
    </row>
    <row r="215" ht="15.75" customHeight="1" s="38">
      <c r="A215" s="2" t="n"/>
      <c r="B215" s="2" t="n"/>
      <c r="C215" s="2" t="n"/>
      <c r="D215" s="2" t="n"/>
      <c r="E215" s="2" t="n"/>
      <c r="F215" s="2" t="n"/>
    </row>
    <row r="216" ht="15.75" customHeight="1" s="38">
      <c r="A216" s="2" t="n"/>
      <c r="B216" s="2" t="n"/>
      <c r="C216" s="2" t="n"/>
      <c r="D216" s="2" t="n"/>
      <c r="E216" s="2" t="n"/>
      <c r="F216" s="2" t="n"/>
    </row>
    <row r="217" ht="15.75" customHeight="1" s="38">
      <c r="A217" s="2" t="n"/>
      <c r="B217" s="2" t="n"/>
      <c r="C217" s="2" t="n"/>
      <c r="D217" s="2" t="n"/>
      <c r="E217" s="2" t="n"/>
      <c r="F217" s="2" t="n"/>
    </row>
    <row r="218" ht="15.75" customHeight="1" s="38">
      <c r="A218" s="2" t="n"/>
      <c r="B218" s="2" t="n"/>
      <c r="C218" s="2" t="n"/>
      <c r="D218" s="2" t="n"/>
      <c r="E218" s="2" t="n"/>
      <c r="F218" s="2" t="n"/>
    </row>
    <row r="219" ht="15.75" customHeight="1" s="38">
      <c r="A219" s="2" t="n"/>
      <c r="B219" s="2" t="n"/>
      <c r="C219" s="2" t="n"/>
      <c r="D219" s="2" t="n"/>
      <c r="E219" s="2" t="n"/>
      <c r="F219" s="2" t="n"/>
    </row>
    <row r="220" ht="15.75" customHeight="1" s="38">
      <c r="A220" s="2" t="n"/>
      <c r="B220" s="2" t="n"/>
      <c r="C220" s="2" t="n"/>
      <c r="D220" s="2" t="n"/>
      <c r="E220" s="2" t="n"/>
      <c r="F220" s="2" t="n"/>
    </row>
    <row r="221" ht="15.75" customHeight="1" s="38">
      <c r="A221" s="2" t="n"/>
      <c r="B221" s="2" t="n"/>
      <c r="C221" s="2" t="n"/>
      <c r="D221" s="2" t="n"/>
      <c r="E221" s="2" t="n"/>
      <c r="F221" s="2" t="n"/>
    </row>
    <row r="222" ht="15.75" customHeight="1" s="38">
      <c r="A222" s="2" t="n"/>
      <c r="B222" s="2" t="n"/>
      <c r="C222" s="2" t="n"/>
      <c r="D222" s="2" t="n"/>
      <c r="E222" s="2" t="n"/>
      <c r="F222" s="2" t="n"/>
    </row>
    <row r="223" ht="15.75" customHeight="1" s="38">
      <c r="A223" s="2" t="n"/>
      <c r="B223" s="2" t="n"/>
      <c r="C223" s="2" t="n"/>
      <c r="D223" s="2" t="n"/>
      <c r="E223" s="2" t="n"/>
      <c r="F223" s="2" t="n"/>
    </row>
    <row r="224" ht="15.75" customHeight="1" s="38">
      <c r="A224" s="2" t="n"/>
      <c r="B224" s="2" t="n"/>
      <c r="C224" s="2" t="n"/>
      <c r="D224" s="2" t="n"/>
      <c r="E224" s="2" t="n"/>
      <c r="F224" s="2" t="n"/>
    </row>
    <row r="225" ht="15.75" customHeight="1" s="38">
      <c r="A225" s="2" t="n"/>
      <c r="B225" s="2" t="n"/>
      <c r="C225" s="2" t="n"/>
      <c r="D225" s="2" t="n"/>
      <c r="E225" s="2" t="n"/>
      <c r="F225" s="2" t="n"/>
    </row>
    <row r="226" ht="15.75" customHeight="1" s="38">
      <c r="A226" s="2" t="n"/>
      <c r="B226" s="2" t="n"/>
      <c r="C226" s="2" t="n"/>
      <c r="D226" s="2" t="n"/>
      <c r="E226" s="2" t="n"/>
      <c r="F226" s="2" t="n"/>
    </row>
    <row r="227" ht="15.75" customHeight="1" s="38">
      <c r="A227" s="2" t="n"/>
      <c r="B227" s="2" t="n"/>
      <c r="C227" s="2" t="n"/>
      <c r="D227" s="2" t="n"/>
      <c r="E227" s="2" t="n"/>
      <c r="F227" s="2" t="n"/>
    </row>
    <row r="228" ht="15.75" customHeight="1" s="38">
      <c r="A228" s="2" t="n"/>
      <c r="B228" s="2" t="n"/>
      <c r="C228" s="2" t="n"/>
      <c r="D228" s="2" t="n"/>
      <c r="E228" s="2" t="n"/>
      <c r="F228" s="2" t="n"/>
    </row>
    <row r="229" ht="15.75" customHeight="1" s="38">
      <c r="A229" s="2" t="n"/>
      <c r="B229" s="2" t="n"/>
      <c r="C229" s="2" t="n"/>
      <c r="D229" s="2" t="n"/>
      <c r="E229" s="2" t="n"/>
      <c r="F229" s="2" t="n"/>
    </row>
    <row r="230" ht="15.75" customHeight="1" s="38">
      <c r="A230" s="2" t="n"/>
      <c r="B230" s="2" t="n"/>
      <c r="C230" s="2" t="n"/>
      <c r="D230" s="2" t="n"/>
      <c r="E230" s="2" t="n"/>
      <c r="F230" s="2" t="n"/>
    </row>
    <row r="231" ht="15.75" customHeight="1" s="38">
      <c r="A231" s="2" t="n"/>
      <c r="B231" s="2" t="n"/>
      <c r="C231" s="2" t="n"/>
      <c r="D231" s="2" t="n"/>
      <c r="E231" s="2" t="n"/>
      <c r="F231" s="2" t="n"/>
    </row>
    <row r="232" ht="15.75" customHeight="1" s="38">
      <c r="A232" s="2" t="n"/>
      <c r="B232" s="2" t="n"/>
      <c r="C232" s="2" t="n"/>
      <c r="D232" s="2" t="n"/>
      <c r="E232" s="2" t="n"/>
      <c r="F232" s="2" t="n"/>
    </row>
    <row r="233" ht="15.75" customHeight="1" s="38">
      <c r="A233" s="2" t="n"/>
      <c r="B233" s="2" t="n"/>
      <c r="C233" s="2" t="n"/>
      <c r="D233" s="2" t="n"/>
      <c r="E233" s="2" t="n"/>
      <c r="F233" s="2" t="n"/>
    </row>
    <row r="234" ht="15.75" customHeight="1" s="38">
      <c r="A234" s="2" t="n"/>
      <c r="B234" s="2" t="n"/>
      <c r="C234" s="2" t="n"/>
      <c r="D234" s="2" t="n"/>
      <c r="E234" s="2" t="n"/>
      <c r="F234" s="2" t="n"/>
    </row>
    <row r="235" ht="15.75" customHeight="1" s="38">
      <c r="A235" s="2" t="n"/>
      <c r="B235" s="2" t="n"/>
      <c r="C235" s="2" t="n"/>
      <c r="D235" s="2" t="n"/>
      <c r="E235" s="2" t="n"/>
      <c r="F235" s="2" t="n"/>
    </row>
    <row r="236" ht="15.75" customHeight="1" s="38">
      <c r="A236" s="2" t="n"/>
      <c r="B236" s="2" t="n"/>
      <c r="C236" s="2" t="n"/>
      <c r="D236" s="2" t="n"/>
      <c r="E236" s="2" t="n"/>
      <c r="F236" s="2" t="n"/>
    </row>
    <row r="237" ht="15.75" customHeight="1" s="38">
      <c r="A237" s="2" t="n"/>
      <c r="B237" s="2" t="n"/>
      <c r="C237" s="2" t="n"/>
      <c r="D237" s="2" t="n"/>
      <c r="E237" s="2" t="n"/>
      <c r="F237" s="2" t="n"/>
    </row>
    <row r="238" ht="15.75" customHeight="1" s="38">
      <c r="A238" s="2" t="n"/>
      <c r="B238" s="2" t="n"/>
      <c r="C238" s="2" t="n"/>
      <c r="D238" s="2" t="n"/>
      <c r="E238" s="2" t="n"/>
      <c r="F238" s="2" t="n"/>
    </row>
    <row r="239" ht="15.75" customHeight="1" s="38">
      <c r="A239" s="2" t="n"/>
      <c r="B239" s="2" t="n"/>
      <c r="C239" s="2" t="n"/>
      <c r="D239" s="2" t="n"/>
      <c r="E239" s="2" t="n"/>
      <c r="F239" s="2" t="n"/>
    </row>
    <row r="240" ht="15.75" customHeight="1" s="38">
      <c r="A240" s="2" t="n"/>
      <c r="B240" s="2" t="n"/>
      <c r="C240" s="2" t="n"/>
      <c r="D240" s="2" t="n"/>
      <c r="E240" s="2" t="n"/>
      <c r="F240" s="2" t="n"/>
    </row>
    <row r="241" ht="15.75" customHeight="1" s="38">
      <c r="A241" s="2" t="n"/>
      <c r="B241" s="2" t="n"/>
      <c r="C241" s="2" t="n"/>
      <c r="D241" s="2" t="n"/>
      <c r="E241" s="2" t="n"/>
      <c r="F241" s="2" t="n"/>
    </row>
    <row r="242" ht="15.75" customHeight="1" s="38">
      <c r="A242" s="2" t="n"/>
      <c r="B242" s="2" t="n"/>
      <c r="C242" s="2" t="n"/>
      <c r="D242" s="2" t="n"/>
      <c r="E242" s="2" t="n"/>
      <c r="F242" s="2" t="n"/>
    </row>
    <row r="243" ht="15.75" customHeight="1" s="38">
      <c r="A243" s="2" t="n"/>
      <c r="B243" s="2" t="n"/>
      <c r="C243" s="2" t="n"/>
      <c r="D243" s="2" t="n"/>
      <c r="E243" s="2" t="n"/>
      <c r="F243" s="2" t="n"/>
    </row>
    <row r="244" ht="15.75" customHeight="1" s="38">
      <c r="A244" s="2" t="n"/>
      <c r="B244" s="2" t="n"/>
      <c r="C244" s="2" t="n"/>
      <c r="D244" s="2" t="n"/>
      <c r="E244" s="2" t="n"/>
      <c r="F244" s="2" t="n"/>
    </row>
    <row r="245" ht="15.75" customHeight="1" s="38">
      <c r="A245" s="2" t="n"/>
      <c r="B245" s="2" t="n"/>
      <c r="C245" s="2" t="n"/>
      <c r="D245" s="2" t="n"/>
      <c r="E245" s="2" t="n"/>
      <c r="F245" s="2" t="n"/>
    </row>
    <row r="246" ht="15.75" customHeight="1" s="38">
      <c r="A246" s="2" t="n"/>
      <c r="B246" s="2" t="n"/>
      <c r="C246" s="2" t="n"/>
      <c r="D246" s="2" t="n"/>
      <c r="E246" s="2" t="n"/>
      <c r="F246" s="2" t="n"/>
    </row>
    <row r="247" ht="15.75" customHeight="1" s="38">
      <c r="A247" s="2" t="n"/>
      <c r="B247" s="2" t="n"/>
      <c r="C247" s="2" t="n"/>
      <c r="D247" s="2" t="n"/>
      <c r="E247" s="2" t="n"/>
      <c r="F247" s="2" t="n"/>
    </row>
    <row r="248" ht="15.75" customHeight="1" s="38">
      <c r="A248" s="2" t="n"/>
      <c r="B248" s="2" t="n"/>
      <c r="C248" s="2" t="n"/>
      <c r="D248" s="2" t="n"/>
      <c r="E248" s="2" t="n"/>
      <c r="F248" s="2" t="n"/>
    </row>
    <row r="249" ht="15.75" customHeight="1" s="38">
      <c r="A249" s="2" t="n"/>
      <c r="B249" s="2" t="n"/>
      <c r="C249" s="2" t="n"/>
      <c r="D249" s="2" t="n"/>
      <c r="E249" s="2" t="n"/>
      <c r="F249" s="2" t="n"/>
    </row>
    <row r="250" ht="15.75" customHeight="1" s="38">
      <c r="A250" s="2" t="n"/>
      <c r="B250" s="2" t="n"/>
      <c r="C250" s="2" t="n"/>
      <c r="D250" s="2" t="n"/>
      <c r="E250" s="2" t="n"/>
      <c r="F250" s="2" t="n"/>
    </row>
    <row r="251" ht="15.75" customHeight="1" s="38">
      <c r="A251" s="2" t="n"/>
      <c r="B251" s="2" t="n"/>
      <c r="C251" s="2" t="n"/>
      <c r="D251" s="2" t="n"/>
      <c r="E251" s="2" t="n"/>
      <c r="F251" s="2" t="n"/>
    </row>
    <row r="252" ht="15.75" customHeight="1" s="38">
      <c r="A252" s="2" t="n"/>
      <c r="B252" s="2" t="n"/>
      <c r="C252" s="2" t="n"/>
      <c r="D252" s="2" t="n"/>
      <c r="E252" s="2" t="n"/>
      <c r="F252" s="2" t="n"/>
    </row>
    <row r="253" ht="15.75" customHeight="1" s="38">
      <c r="A253" s="2" t="n"/>
      <c r="B253" s="2" t="n"/>
      <c r="C253" s="2" t="n"/>
      <c r="D253" s="2" t="n"/>
      <c r="E253" s="2" t="n"/>
      <c r="F253" s="2" t="n"/>
    </row>
    <row r="254" ht="15.75" customHeight="1" s="38">
      <c r="A254" s="2" t="n"/>
      <c r="B254" s="2" t="n"/>
      <c r="C254" s="2" t="n"/>
      <c r="D254" s="2" t="n"/>
      <c r="E254" s="2" t="n"/>
      <c r="F254" s="2" t="n"/>
    </row>
    <row r="255" ht="15.75" customHeight="1" s="38">
      <c r="A255" s="2" t="n"/>
      <c r="B255" s="2" t="n"/>
      <c r="C255" s="2" t="n"/>
      <c r="D255" s="2" t="n"/>
      <c r="E255" s="2" t="n"/>
      <c r="F255" s="2" t="n"/>
    </row>
    <row r="256" ht="15.75" customHeight="1" s="38">
      <c r="A256" s="2" t="n"/>
      <c r="B256" s="2" t="n"/>
      <c r="C256" s="2" t="n"/>
      <c r="D256" s="2" t="n"/>
      <c r="E256" s="2" t="n"/>
      <c r="F256" s="2" t="n"/>
    </row>
    <row r="257" ht="15.75" customHeight="1" s="38">
      <c r="A257" s="2" t="n"/>
      <c r="B257" s="2" t="n"/>
      <c r="C257" s="2" t="n"/>
      <c r="D257" s="2" t="n"/>
      <c r="E257" s="2" t="n"/>
      <c r="F257" s="2" t="n"/>
    </row>
    <row r="258" ht="15.75" customHeight="1" s="38">
      <c r="A258" s="2" t="n"/>
      <c r="B258" s="2" t="n"/>
      <c r="C258" s="2" t="n"/>
      <c r="D258" s="2" t="n"/>
      <c r="E258" s="2" t="n"/>
      <c r="F258" s="2" t="n"/>
    </row>
    <row r="259" ht="15.75" customHeight="1" s="38">
      <c r="A259" s="2" t="n"/>
      <c r="B259" s="2" t="n"/>
      <c r="C259" s="2" t="n"/>
      <c r="D259" s="2" t="n"/>
      <c r="E259" s="2" t="n"/>
      <c r="F259" s="2" t="n"/>
    </row>
    <row r="260" ht="15.75" customHeight="1" s="38">
      <c r="A260" s="2" t="n"/>
      <c r="B260" s="2" t="n"/>
      <c r="C260" s="2" t="n"/>
      <c r="D260" s="2" t="n"/>
      <c r="E260" s="2" t="n"/>
      <c r="F260" s="2" t="n"/>
    </row>
    <row r="261" ht="15.75" customHeight="1" s="38">
      <c r="A261" s="2" t="n"/>
      <c r="B261" s="2" t="n"/>
      <c r="C261" s="2" t="n"/>
      <c r="D261" s="2" t="n"/>
      <c r="E261" s="2" t="n"/>
      <c r="F261" s="2" t="n"/>
    </row>
    <row r="262" ht="15.75" customHeight="1" s="38">
      <c r="A262" s="2" t="n"/>
      <c r="B262" s="2" t="n"/>
      <c r="C262" s="2" t="n"/>
      <c r="D262" s="2" t="n"/>
      <c r="E262" s="2" t="n"/>
      <c r="F262" s="2" t="n"/>
    </row>
    <row r="263" ht="15.75" customHeight="1" s="38">
      <c r="A263" s="2" t="n"/>
      <c r="B263" s="2" t="n"/>
      <c r="C263" s="2" t="n"/>
      <c r="D263" s="2" t="n"/>
      <c r="E263" s="2" t="n"/>
      <c r="F263" s="2" t="n"/>
    </row>
    <row r="264" ht="15.75" customHeight="1" s="38">
      <c r="A264" s="2" t="n"/>
      <c r="B264" s="2" t="n"/>
      <c r="C264" s="2" t="n"/>
      <c r="D264" s="2" t="n"/>
      <c r="E264" s="2" t="n"/>
      <c r="F264" s="2" t="n"/>
    </row>
    <row r="265" ht="15.75" customHeight="1" s="38">
      <c r="A265" s="2" t="n"/>
      <c r="B265" s="2" t="n"/>
      <c r="C265" s="2" t="n"/>
      <c r="D265" s="2" t="n"/>
      <c r="E265" s="2" t="n"/>
      <c r="F265" s="2" t="n"/>
    </row>
    <row r="266" ht="15.75" customHeight="1" s="38">
      <c r="A266" s="2" t="n"/>
      <c r="B266" s="2" t="n"/>
      <c r="C266" s="2" t="n"/>
      <c r="D266" s="2" t="n"/>
      <c r="E266" s="2" t="n"/>
      <c r="F266" s="2" t="n"/>
    </row>
    <row r="267" ht="15.75" customHeight="1" s="38">
      <c r="A267" s="2" t="n"/>
      <c r="B267" s="2" t="n"/>
      <c r="C267" s="2" t="n"/>
      <c r="D267" s="2" t="n"/>
      <c r="E267" s="2" t="n"/>
      <c r="F267" s="2" t="n"/>
    </row>
    <row r="268" ht="15.75" customHeight="1" s="38">
      <c r="A268" s="2" t="n"/>
      <c r="B268" s="2" t="n"/>
      <c r="C268" s="2" t="n"/>
      <c r="D268" s="2" t="n"/>
      <c r="E268" s="2" t="n"/>
      <c r="F268" s="2" t="n"/>
    </row>
    <row r="269" ht="15.75" customHeight="1" s="38">
      <c r="A269" s="2" t="n"/>
      <c r="B269" s="2" t="n"/>
      <c r="C269" s="2" t="n"/>
      <c r="D269" s="2" t="n"/>
      <c r="E269" s="2" t="n"/>
      <c r="F269" s="2" t="n"/>
    </row>
    <row r="270" ht="15.75" customHeight="1" s="38">
      <c r="A270" s="2" t="n"/>
      <c r="B270" s="2" t="n"/>
      <c r="C270" s="2" t="n"/>
      <c r="D270" s="2" t="n"/>
      <c r="E270" s="2" t="n"/>
      <c r="F270" s="2" t="n"/>
    </row>
    <row r="271" ht="15.75" customHeight="1" s="38">
      <c r="A271" s="2" t="n"/>
      <c r="B271" s="2" t="n"/>
      <c r="C271" s="2" t="n"/>
      <c r="D271" s="2" t="n"/>
      <c r="E271" s="2" t="n"/>
      <c r="F271" s="2" t="n"/>
    </row>
    <row r="272" ht="15.75" customHeight="1" s="38">
      <c r="A272" s="2" t="n"/>
      <c r="B272" s="2" t="n"/>
      <c r="C272" s="2" t="n"/>
      <c r="D272" s="2" t="n"/>
      <c r="E272" s="2" t="n"/>
      <c r="F272" s="2" t="n"/>
    </row>
    <row r="273" ht="15.75" customHeight="1" s="38">
      <c r="A273" s="2" t="n"/>
      <c r="B273" s="2" t="n"/>
      <c r="C273" s="2" t="n"/>
      <c r="D273" s="2" t="n"/>
      <c r="E273" s="2" t="n"/>
      <c r="F273" s="2" t="n"/>
    </row>
    <row r="274" ht="15.75" customHeight="1" s="38">
      <c r="A274" s="2" t="n"/>
      <c r="B274" s="2" t="n"/>
      <c r="C274" s="2" t="n"/>
      <c r="D274" s="2" t="n"/>
      <c r="E274" s="2" t="n"/>
      <c r="F274" s="2" t="n"/>
    </row>
    <row r="275" ht="15.75" customHeight="1" s="38">
      <c r="A275" s="2" t="n"/>
      <c r="B275" s="2" t="n"/>
      <c r="C275" s="2" t="n"/>
      <c r="D275" s="2" t="n"/>
      <c r="E275" s="2" t="n"/>
      <c r="F275" s="2" t="n"/>
    </row>
    <row r="276" ht="15.75" customHeight="1" s="38">
      <c r="A276" s="2" t="n"/>
      <c r="B276" s="2" t="n"/>
      <c r="C276" s="2" t="n"/>
      <c r="D276" s="2" t="n"/>
      <c r="E276" s="2" t="n"/>
      <c r="F276" s="2" t="n"/>
    </row>
    <row r="277" ht="15.75" customHeight="1" s="38">
      <c r="A277" s="2" t="n"/>
      <c r="B277" s="2" t="n"/>
      <c r="C277" s="2" t="n"/>
      <c r="D277" s="2" t="n"/>
      <c r="E277" s="2" t="n"/>
      <c r="F277" s="2" t="n"/>
    </row>
    <row r="278" ht="15.75" customHeight="1" s="38">
      <c r="A278" s="2" t="n"/>
      <c r="B278" s="2" t="n"/>
      <c r="C278" s="2" t="n"/>
      <c r="D278" s="2" t="n"/>
      <c r="E278" s="2" t="n"/>
      <c r="F278" s="2" t="n"/>
    </row>
    <row r="279" ht="15.75" customHeight="1" s="38">
      <c r="A279" s="2" t="n"/>
      <c r="B279" s="2" t="n"/>
      <c r="C279" s="2" t="n"/>
      <c r="D279" s="2" t="n"/>
      <c r="E279" s="2" t="n"/>
      <c r="F279" s="2" t="n"/>
    </row>
    <row r="280" ht="15.75" customHeight="1" s="38">
      <c r="A280" s="2" t="n"/>
      <c r="B280" s="2" t="n"/>
      <c r="C280" s="2" t="n"/>
      <c r="D280" s="2" t="n"/>
      <c r="E280" s="2" t="n"/>
      <c r="F280" s="2" t="n"/>
    </row>
    <row r="281" ht="15.75" customHeight="1" s="38">
      <c r="A281" s="2" t="n"/>
      <c r="B281" s="2" t="n"/>
      <c r="C281" s="2" t="n"/>
      <c r="D281" s="2" t="n"/>
      <c r="E281" s="2" t="n"/>
      <c r="F281" s="2" t="n"/>
    </row>
    <row r="282" ht="15.75" customHeight="1" s="38">
      <c r="A282" s="2" t="n"/>
      <c r="B282" s="2" t="n"/>
      <c r="C282" s="2" t="n"/>
      <c r="D282" s="2" t="n"/>
      <c r="E282" s="2" t="n"/>
      <c r="F282" s="2" t="n"/>
    </row>
    <row r="283" ht="15.75" customHeight="1" s="38">
      <c r="A283" s="2" t="n"/>
      <c r="B283" s="2" t="n"/>
      <c r="C283" s="2" t="n"/>
      <c r="D283" s="2" t="n"/>
      <c r="E283" s="2" t="n"/>
      <c r="F283" s="2" t="n"/>
    </row>
    <row r="284" ht="15.75" customHeight="1" s="38">
      <c r="A284" s="2" t="n"/>
      <c r="B284" s="2" t="n"/>
      <c r="C284" s="2" t="n"/>
      <c r="D284" s="2" t="n"/>
      <c r="E284" s="2" t="n"/>
      <c r="F284" s="2" t="n"/>
    </row>
    <row r="285" ht="15.75" customHeight="1" s="38">
      <c r="A285" s="2" t="n"/>
      <c r="B285" s="2" t="n"/>
      <c r="C285" s="2" t="n"/>
      <c r="D285" s="2" t="n"/>
      <c r="E285" s="2" t="n"/>
      <c r="F285" s="2" t="n"/>
    </row>
    <row r="286" ht="15.75" customHeight="1" s="38">
      <c r="A286" s="2" t="n"/>
      <c r="B286" s="2" t="n"/>
      <c r="C286" s="2" t="n"/>
      <c r="D286" s="2" t="n"/>
      <c r="E286" s="2" t="n"/>
      <c r="F286" s="2" t="n"/>
    </row>
    <row r="287" ht="15.75" customHeight="1" s="38">
      <c r="A287" s="2" t="n"/>
      <c r="B287" s="2" t="n"/>
      <c r="C287" s="2" t="n"/>
      <c r="D287" s="2" t="n"/>
      <c r="E287" s="2" t="n"/>
      <c r="F287" s="2" t="n"/>
    </row>
    <row r="288" ht="15.75" customHeight="1" s="38">
      <c r="A288" s="2" t="n"/>
      <c r="B288" s="2" t="n"/>
      <c r="C288" s="2" t="n"/>
      <c r="D288" s="2" t="n"/>
      <c r="E288" s="2" t="n"/>
      <c r="F288" s="2" t="n"/>
    </row>
    <row r="289" ht="15.75" customHeight="1" s="38">
      <c r="A289" s="2" t="n"/>
      <c r="B289" s="2" t="n"/>
      <c r="C289" s="2" t="n"/>
      <c r="D289" s="2" t="n"/>
      <c r="E289" s="2" t="n"/>
      <c r="F289" s="2" t="n"/>
    </row>
    <row r="290" ht="15.75" customHeight="1" s="38">
      <c r="A290" s="2" t="n"/>
      <c r="B290" s="2" t="n"/>
      <c r="C290" s="2" t="n"/>
      <c r="D290" s="2" t="n"/>
      <c r="E290" s="2" t="n"/>
      <c r="F290" s="2" t="n"/>
    </row>
    <row r="291" ht="15.75" customHeight="1" s="38">
      <c r="A291" s="2" t="n"/>
      <c r="B291" s="2" t="n"/>
      <c r="C291" s="2" t="n"/>
      <c r="D291" s="2" t="n"/>
      <c r="E291" s="2" t="n"/>
      <c r="F291" s="2" t="n"/>
    </row>
    <row r="292" ht="15.75" customHeight="1" s="38">
      <c r="A292" s="2" t="n"/>
      <c r="B292" s="2" t="n"/>
      <c r="C292" s="2" t="n"/>
      <c r="D292" s="2" t="n"/>
      <c r="E292" s="2" t="n"/>
      <c r="F292" s="2" t="n"/>
    </row>
    <row r="293" ht="15.75" customHeight="1" s="38">
      <c r="A293" s="2" t="n"/>
      <c r="B293" s="2" t="n"/>
      <c r="C293" s="2" t="n"/>
      <c r="D293" s="2" t="n"/>
      <c r="E293" s="2" t="n"/>
      <c r="F293" s="2" t="n"/>
    </row>
    <row r="294" ht="15.75" customHeight="1" s="38">
      <c r="A294" s="2" t="n"/>
      <c r="B294" s="2" t="n"/>
      <c r="C294" s="2" t="n"/>
      <c r="D294" s="2" t="n"/>
      <c r="E294" s="2" t="n"/>
      <c r="F294" s="2" t="n"/>
    </row>
    <row r="295" ht="15.75" customHeight="1" s="38">
      <c r="A295" s="2" t="n"/>
      <c r="B295" s="2" t="n"/>
      <c r="C295" s="2" t="n"/>
      <c r="D295" s="2" t="n"/>
      <c r="E295" s="2" t="n"/>
      <c r="F295" s="2" t="n"/>
    </row>
    <row r="296" ht="15.75" customHeight="1" s="38">
      <c r="A296" s="2" t="n"/>
      <c r="B296" s="2" t="n"/>
      <c r="C296" s="2" t="n"/>
      <c r="D296" s="2" t="n"/>
      <c r="E296" s="2" t="n"/>
      <c r="F296" s="2" t="n"/>
    </row>
    <row r="297" ht="15.75" customHeight="1" s="38">
      <c r="A297" s="2" t="n"/>
      <c r="B297" s="2" t="n"/>
      <c r="C297" s="2" t="n"/>
      <c r="D297" s="2" t="n"/>
      <c r="E297" s="2" t="n"/>
      <c r="F297" s="2" t="n"/>
    </row>
    <row r="298" ht="15.75" customHeight="1" s="38">
      <c r="A298" s="2" t="n"/>
      <c r="B298" s="2" t="n"/>
      <c r="C298" s="2" t="n"/>
      <c r="D298" s="2" t="n"/>
      <c r="E298" s="2" t="n"/>
      <c r="F298" s="2" t="n"/>
    </row>
    <row r="299" ht="15.75" customHeight="1" s="38">
      <c r="A299" s="2" t="n"/>
      <c r="B299" s="2" t="n"/>
      <c r="C299" s="2" t="n"/>
      <c r="D299" s="2" t="n"/>
      <c r="E299" s="2" t="n"/>
      <c r="F299" s="2" t="n"/>
    </row>
    <row r="300" ht="15.75" customHeight="1" s="38">
      <c r="A300" s="2" t="n"/>
      <c r="B300" s="2" t="n"/>
      <c r="C300" s="2" t="n"/>
      <c r="D300" s="2" t="n"/>
      <c r="E300" s="2" t="n"/>
      <c r="F300" s="2" t="n"/>
    </row>
    <row r="301" ht="15.75" customHeight="1" s="38">
      <c r="A301" s="2" t="n"/>
      <c r="B301" s="2" t="n"/>
      <c r="C301" s="2" t="n"/>
      <c r="D301" s="2" t="n"/>
      <c r="E301" s="2" t="n"/>
      <c r="F301" s="2" t="n"/>
    </row>
    <row r="302" ht="15.75" customHeight="1" s="38">
      <c r="A302" s="2" t="n"/>
      <c r="B302" s="2" t="n"/>
      <c r="C302" s="2" t="n"/>
      <c r="D302" s="2" t="n"/>
      <c r="E302" s="2" t="n"/>
      <c r="F302" s="2" t="n"/>
    </row>
    <row r="303" ht="15.75" customHeight="1" s="38">
      <c r="A303" s="2" t="n"/>
      <c r="B303" s="2" t="n"/>
      <c r="C303" s="2" t="n"/>
      <c r="D303" s="2" t="n"/>
      <c r="E303" s="2" t="n"/>
      <c r="F303" s="2" t="n"/>
    </row>
    <row r="304" ht="15.75" customHeight="1" s="38">
      <c r="A304" s="2" t="n"/>
      <c r="B304" s="2" t="n"/>
      <c r="C304" s="2" t="n"/>
      <c r="D304" s="2" t="n"/>
      <c r="E304" s="2" t="n"/>
      <c r="F304" s="2" t="n"/>
    </row>
    <row r="305" ht="15.75" customHeight="1" s="38">
      <c r="A305" s="2" t="n"/>
      <c r="B305" s="2" t="n"/>
      <c r="C305" s="2" t="n"/>
      <c r="D305" s="2" t="n"/>
      <c r="E305" s="2" t="n"/>
      <c r="F305" s="2" t="n"/>
    </row>
    <row r="306" ht="15.75" customHeight="1" s="38">
      <c r="A306" s="2" t="n"/>
      <c r="B306" s="2" t="n"/>
      <c r="C306" s="2" t="n"/>
      <c r="D306" s="2" t="n"/>
      <c r="E306" s="2" t="n"/>
      <c r="F306" s="2" t="n"/>
    </row>
    <row r="307" ht="15.75" customHeight="1" s="38">
      <c r="A307" s="2" t="n"/>
      <c r="B307" s="2" t="n"/>
      <c r="C307" s="2" t="n"/>
      <c r="D307" s="2" t="n"/>
      <c r="E307" s="2" t="n"/>
      <c r="F307" s="2" t="n"/>
    </row>
    <row r="308" ht="15.75" customHeight="1" s="38">
      <c r="A308" s="2" t="n"/>
      <c r="B308" s="2" t="n"/>
      <c r="C308" s="2" t="n"/>
      <c r="D308" s="2" t="n"/>
      <c r="E308" s="2" t="n"/>
      <c r="F308" s="2" t="n"/>
    </row>
    <row r="309" ht="15.75" customHeight="1" s="38">
      <c r="A309" s="2" t="n"/>
      <c r="B309" s="2" t="n"/>
      <c r="C309" s="2" t="n"/>
      <c r="D309" s="2" t="n"/>
      <c r="E309" s="2" t="n"/>
      <c r="F309" s="2" t="n"/>
    </row>
    <row r="310" ht="15.75" customHeight="1" s="38">
      <c r="A310" s="2" t="n"/>
      <c r="B310" s="2" t="n"/>
      <c r="C310" s="2" t="n"/>
      <c r="D310" s="2" t="n"/>
      <c r="E310" s="2" t="n"/>
      <c r="F310" s="2" t="n"/>
    </row>
    <row r="311" ht="15.75" customHeight="1" s="38">
      <c r="A311" s="2" t="n"/>
      <c r="B311" s="2" t="n"/>
      <c r="C311" s="2" t="n"/>
      <c r="D311" s="2" t="n"/>
      <c r="E311" s="2" t="n"/>
      <c r="F311" s="2" t="n"/>
    </row>
    <row r="312" ht="15.75" customHeight="1" s="38">
      <c r="A312" s="2" t="n"/>
      <c r="B312" s="2" t="n"/>
      <c r="C312" s="2" t="n"/>
      <c r="D312" s="2" t="n"/>
      <c r="E312" s="2" t="n"/>
      <c r="F312" s="2" t="n"/>
    </row>
    <row r="313" ht="15.75" customHeight="1" s="38">
      <c r="A313" s="2" t="n"/>
      <c r="B313" s="2" t="n"/>
      <c r="C313" s="2" t="n"/>
      <c r="D313" s="2" t="n"/>
      <c r="E313" s="2" t="n"/>
      <c r="F313" s="2" t="n"/>
    </row>
    <row r="314" ht="15.75" customHeight="1" s="38">
      <c r="A314" s="2" t="n"/>
      <c r="B314" s="2" t="n"/>
      <c r="C314" s="2" t="n"/>
      <c r="D314" s="2" t="n"/>
      <c r="E314" s="2" t="n"/>
      <c r="F314" s="2" t="n"/>
    </row>
    <row r="315" ht="15.75" customHeight="1" s="38">
      <c r="A315" s="2" t="n"/>
      <c r="B315" s="2" t="n"/>
      <c r="C315" s="2" t="n"/>
      <c r="D315" s="2" t="n"/>
      <c r="E315" s="2" t="n"/>
      <c r="F315" s="2" t="n"/>
    </row>
    <row r="316" ht="15.75" customHeight="1" s="38">
      <c r="A316" s="2" t="n"/>
      <c r="B316" s="2" t="n"/>
      <c r="C316" s="2" t="n"/>
      <c r="D316" s="2" t="n"/>
      <c r="E316" s="2" t="n"/>
      <c r="F316" s="2" t="n"/>
    </row>
    <row r="317" ht="15.75" customHeight="1" s="38">
      <c r="A317" s="2" t="n"/>
      <c r="B317" s="2" t="n"/>
      <c r="C317" s="2" t="n"/>
      <c r="D317" s="2" t="n"/>
      <c r="E317" s="2" t="n"/>
      <c r="F317" s="2" t="n"/>
    </row>
    <row r="318" ht="15.75" customHeight="1" s="38">
      <c r="A318" s="2" t="n"/>
      <c r="B318" s="2" t="n"/>
      <c r="C318" s="2" t="n"/>
      <c r="D318" s="2" t="n"/>
      <c r="E318" s="2" t="n"/>
      <c r="F318" s="2" t="n"/>
    </row>
    <row r="319" ht="15.75" customHeight="1" s="38">
      <c r="A319" s="2" t="n"/>
      <c r="B319" s="2" t="n"/>
      <c r="C319" s="2" t="n"/>
      <c r="D319" s="2" t="n"/>
      <c r="E319" s="2" t="n"/>
      <c r="F319" s="2" t="n"/>
    </row>
    <row r="320" ht="15.75" customHeight="1" s="38">
      <c r="A320" s="2" t="n"/>
      <c r="B320" s="2" t="n"/>
      <c r="C320" s="2" t="n"/>
      <c r="D320" s="2" t="n"/>
      <c r="E320" s="2" t="n"/>
      <c r="F320" s="2" t="n"/>
    </row>
    <row r="321" ht="15.75" customHeight="1" s="38">
      <c r="A321" s="2" t="n"/>
      <c r="B321" s="2" t="n"/>
      <c r="C321" s="2" t="n"/>
      <c r="D321" s="2" t="n"/>
      <c r="E321" s="2" t="n"/>
      <c r="F321" s="2" t="n"/>
    </row>
    <row r="322" ht="15.75" customHeight="1" s="38">
      <c r="A322" s="2" t="n"/>
      <c r="B322" s="2" t="n"/>
      <c r="C322" s="2" t="n"/>
      <c r="D322" s="2" t="n"/>
      <c r="E322" s="2" t="n"/>
      <c r="F322" s="2" t="n"/>
    </row>
    <row r="323" ht="15.75" customHeight="1" s="38">
      <c r="A323" s="2" t="n"/>
      <c r="B323" s="2" t="n"/>
      <c r="C323" s="2" t="n"/>
      <c r="D323" s="2" t="n"/>
      <c r="E323" s="2" t="n"/>
      <c r="F323" s="2" t="n"/>
    </row>
    <row r="324" ht="15.75" customHeight="1" s="38">
      <c r="A324" s="2" t="n"/>
      <c r="B324" s="2" t="n"/>
      <c r="C324" s="2" t="n"/>
      <c r="D324" s="2" t="n"/>
      <c r="E324" s="2" t="n"/>
      <c r="F324" s="2" t="n"/>
    </row>
    <row r="325" ht="15.75" customHeight="1" s="38">
      <c r="A325" s="2" t="n"/>
      <c r="B325" s="2" t="n"/>
      <c r="C325" s="2" t="n"/>
      <c r="D325" s="2" t="n"/>
      <c r="E325" s="2" t="n"/>
      <c r="F325" s="2" t="n"/>
    </row>
    <row r="326" ht="15.75" customHeight="1" s="38">
      <c r="A326" s="2" t="n"/>
      <c r="B326" s="2" t="n"/>
      <c r="C326" s="2" t="n"/>
      <c r="D326" s="2" t="n"/>
      <c r="E326" s="2" t="n"/>
      <c r="F326" s="2" t="n"/>
    </row>
    <row r="327" ht="15.75" customHeight="1" s="38">
      <c r="A327" s="2" t="n"/>
      <c r="B327" s="2" t="n"/>
      <c r="C327" s="2" t="n"/>
      <c r="D327" s="2" t="n"/>
      <c r="E327" s="2" t="n"/>
      <c r="F327" s="2" t="n"/>
    </row>
    <row r="328" ht="15.75" customHeight="1" s="38">
      <c r="A328" s="2" t="n"/>
      <c r="B328" s="2" t="n"/>
      <c r="C328" s="2" t="n"/>
      <c r="D328" s="2" t="n"/>
      <c r="E328" s="2" t="n"/>
      <c r="F328" s="2" t="n"/>
    </row>
    <row r="329" ht="15.75" customHeight="1" s="38">
      <c r="A329" s="2" t="n"/>
      <c r="B329" s="2" t="n"/>
      <c r="C329" s="2" t="n"/>
      <c r="D329" s="2" t="n"/>
      <c r="E329" s="2" t="n"/>
      <c r="F329" s="2" t="n"/>
    </row>
    <row r="330" ht="15.75" customHeight="1" s="38">
      <c r="A330" s="2" t="n"/>
      <c r="B330" s="2" t="n"/>
      <c r="C330" s="2" t="n"/>
      <c r="D330" s="2" t="n"/>
      <c r="E330" s="2" t="n"/>
      <c r="F330" s="2" t="n"/>
    </row>
    <row r="331" ht="15.75" customHeight="1" s="38">
      <c r="A331" s="2" t="n"/>
      <c r="B331" s="2" t="n"/>
      <c r="C331" s="2" t="n"/>
      <c r="D331" s="2" t="n"/>
      <c r="E331" s="2" t="n"/>
      <c r="F331" s="2" t="n"/>
    </row>
    <row r="332" ht="15.75" customHeight="1" s="38">
      <c r="A332" s="2" t="n"/>
      <c r="B332" s="2" t="n"/>
      <c r="C332" s="2" t="n"/>
      <c r="D332" s="2" t="n"/>
      <c r="E332" s="2" t="n"/>
      <c r="F332" s="2" t="n"/>
    </row>
    <row r="333" ht="15.75" customHeight="1" s="38">
      <c r="A333" s="2" t="n"/>
      <c r="B333" s="2" t="n"/>
      <c r="C333" s="2" t="n"/>
      <c r="D333" s="2" t="n"/>
      <c r="E333" s="2" t="n"/>
      <c r="F333" s="2" t="n"/>
    </row>
    <row r="334" ht="15.75" customHeight="1" s="38">
      <c r="A334" s="2" t="n"/>
      <c r="B334" s="2" t="n"/>
      <c r="C334" s="2" t="n"/>
      <c r="D334" s="2" t="n"/>
      <c r="E334" s="2" t="n"/>
      <c r="F334" s="2" t="n"/>
    </row>
    <row r="335" ht="15.75" customHeight="1" s="38">
      <c r="A335" s="2" t="n"/>
      <c r="B335" s="2" t="n"/>
      <c r="C335" s="2" t="n"/>
      <c r="D335" s="2" t="n"/>
      <c r="E335" s="2" t="n"/>
      <c r="F335" s="2" t="n"/>
    </row>
    <row r="336" ht="15.75" customHeight="1" s="38">
      <c r="A336" s="2" t="n"/>
      <c r="B336" s="2" t="n"/>
      <c r="C336" s="2" t="n"/>
      <c r="D336" s="2" t="n"/>
      <c r="E336" s="2" t="n"/>
      <c r="F336" s="2" t="n"/>
    </row>
    <row r="337" ht="15.75" customHeight="1" s="38">
      <c r="A337" s="2" t="n"/>
      <c r="B337" s="2" t="n"/>
      <c r="C337" s="2" t="n"/>
      <c r="D337" s="2" t="n"/>
      <c r="E337" s="2" t="n"/>
      <c r="F337" s="2" t="n"/>
    </row>
    <row r="338" ht="15.75" customHeight="1" s="38">
      <c r="A338" s="2" t="n"/>
      <c r="B338" s="2" t="n"/>
      <c r="C338" s="2" t="n"/>
      <c r="D338" s="2" t="n"/>
      <c r="E338" s="2" t="n"/>
      <c r="F338" s="2" t="n"/>
    </row>
    <row r="339" ht="15.75" customHeight="1" s="38">
      <c r="A339" s="2" t="n"/>
      <c r="B339" s="2" t="n"/>
      <c r="C339" s="2" t="n"/>
      <c r="D339" s="2" t="n"/>
      <c r="E339" s="2" t="n"/>
      <c r="F339" s="2" t="n"/>
    </row>
    <row r="340" ht="15.75" customHeight="1" s="38">
      <c r="A340" s="2" t="n"/>
      <c r="B340" s="2" t="n"/>
      <c r="C340" s="2" t="n"/>
      <c r="D340" s="2" t="n"/>
      <c r="E340" s="2" t="n"/>
      <c r="F340" s="2" t="n"/>
    </row>
    <row r="341" ht="15.75" customHeight="1" s="38">
      <c r="A341" s="2" t="n"/>
      <c r="B341" s="2" t="n"/>
      <c r="C341" s="2" t="n"/>
      <c r="D341" s="2" t="n"/>
      <c r="E341" s="2" t="n"/>
      <c r="F341" s="2" t="n"/>
    </row>
    <row r="342" ht="15.75" customHeight="1" s="38">
      <c r="A342" s="2" t="n"/>
      <c r="B342" s="2" t="n"/>
      <c r="C342" s="2" t="n"/>
      <c r="D342" s="2" t="n"/>
      <c r="E342" s="2" t="n"/>
      <c r="F342" s="2" t="n"/>
    </row>
    <row r="343" ht="15.75" customHeight="1" s="38">
      <c r="A343" s="2" t="n"/>
      <c r="B343" s="2" t="n"/>
      <c r="C343" s="2" t="n"/>
      <c r="D343" s="2" t="n"/>
      <c r="E343" s="2" t="n"/>
      <c r="F343" s="2" t="n"/>
    </row>
    <row r="344" ht="15.75" customHeight="1" s="38">
      <c r="A344" s="2" t="n"/>
      <c r="B344" s="2" t="n"/>
      <c r="C344" s="2" t="n"/>
      <c r="D344" s="2" t="n"/>
      <c r="E344" s="2" t="n"/>
      <c r="F344" s="2" t="n"/>
    </row>
    <row r="345" ht="15.75" customHeight="1" s="38">
      <c r="A345" s="2" t="n"/>
      <c r="B345" s="2" t="n"/>
      <c r="C345" s="2" t="n"/>
      <c r="D345" s="2" t="n"/>
      <c r="E345" s="2" t="n"/>
      <c r="F345" s="2" t="n"/>
    </row>
    <row r="346" ht="15.75" customHeight="1" s="38">
      <c r="A346" s="2" t="n"/>
      <c r="B346" s="2" t="n"/>
      <c r="C346" s="2" t="n"/>
      <c r="D346" s="2" t="n"/>
      <c r="E346" s="2" t="n"/>
      <c r="F346" s="2" t="n"/>
    </row>
    <row r="347" ht="15.75" customHeight="1" s="38">
      <c r="A347" s="2" t="n"/>
      <c r="B347" s="2" t="n"/>
      <c r="C347" s="2" t="n"/>
      <c r="D347" s="2" t="n"/>
      <c r="E347" s="2" t="n"/>
      <c r="F347" s="2" t="n"/>
    </row>
    <row r="348" ht="15.75" customHeight="1" s="38">
      <c r="A348" s="2" t="n"/>
      <c r="B348" s="2" t="n"/>
      <c r="C348" s="2" t="n"/>
      <c r="D348" s="2" t="n"/>
      <c r="E348" s="2" t="n"/>
      <c r="F348" s="2" t="n"/>
    </row>
    <row r="349" ht="15.75" customHeight="1" s="38">
      <c r="A349" s="2" t="n"/>
      <c r="B349" s="2" t="n"/>
      <c r="C349" s="2" t="n"/>
      <c r="D349" s="2" t="n"/>
      <c r="E349" s="2" t="n"/>
      <c r="F349" s="2" t="n"/>
    </row>
    <row r="350" ht="15.75" customHeight="1" s="38">
      <c r="A350" s="2" t="n"/>
      <c r="B350" s="2" t="n"/>
      <c r="C350" s="2" t="n"/>
      <c r="D350" s="2" t="n"/>
      <c r="E350" s="2" t="n"/>
      <c r="F350" s="2" t="n"/>
    </row>
    <row r="351" ht="15.75" customHeight="1" s="38">
      <c r="A351" s="2" t="n"/>
      <c r="B351" s="2" t="n"/>
      <c r="C351" s="2" t="n"/>
      <c r="D351" s="2" t="n"/>
      <c r="E351" s="2" t="n"/>
      <c r="F351" s="2" t="n"/>
    </row>
    <row r="352" ht="15.75" customHeight="1" s="38">
      <c r="A352" s="2" t="n"/>
      <c r="B352" s="2" t="n"/>
      <c r="C352" s="2" t="n"/>
      <c r="D352" s="2" t="n"/>
      <c r="E352" s="2" t="n"/>
      <c r="F352" s="2" t="n"/>
    </row>
    <row r="353" ht="15.75" customHeight="1" s="38">
      <c r="A353" s="2" t="n"/>
      <c r="B353" s="2" t="n"/>
      <c r="C353" s="2" t="n"/>
      <c r="D353" s="2" t="n"/>
      <c r="E353" s="2" t="n"/>
      <c r="F353" s="2" t="n"/>
    </row>
    <row r="354" ht="15.75" customHeight="1" s="38">
      <c r="A354" s="2" t="n"/>
      <c r="B354" s="2" t="n"/>
      <c r="C354" s="2" t="n"/>
      <c r="D354" s="2" t="n"/>
      <c r="E354" s="2" t="n"/>
      <c r="F354" s="2" t="n"/>
    </row>
    <row r="355" ht="15.75" customHeight="1" s="38">
      <c r="A355" s="2" t="n"/>
      <c r="B355" s="2" t="n"/>
      <c r="C355" s="2" t="n"/>
      <c r="D355" s="2" t="n"/>
      <c r="E355" s="2" t="n"/>
      <c r="F355" s="2" t="n"/>
    </row>
    <row r="356" ht="15.75" customHeight="1" s="38">
      <c r="A356" s="2" t="n"/>
      <c r="B356" s="2" t="n"/>
      <c r="C356" s="2" t="n"/>
      <c r="D356" s="2" t="n"/>
      <c r="E356" s="2" t="n"/>
      <c r="F356" s="2" t="n"/>
    </row>
    <row r="357" ht="15.75" customHeight="1" s="38">
      <c r="A357" s="2" t="n"/>
      <c r="B357" s="2" t="n"/>
      <c r="C357" s="2" t="n"/>
      <c r="D357" s="2" t="n"/>
      <c r="E357" s="2" t="n"/>
      <c r="F357" s="2" t="n"/>
    </row>
    <row r="358" ht="15.75" customHeight="1" s="38">
      <c r="A358" s="2" t="n"/>
      <c r="B358" s="2" t="n"/>
      <c r="C358" s="2" t="n"/>
      <c r="D358" s="2" t="n"/>
      <c r="E358" s="2" t="n"/>
      <c r="F358" s="2" t="n"/>
    </row>
    <row r="359" ht="15.75" customHeight="1" s="38">
      <c r="A359" s="2" t="n"/>
      <c r="B359" s="2" t="n"/>
      <c r="C359" s="2" t="n"/>
      <c r="D359" s="2" t="n"/>
      <c r="E359" s="2" t="n"/>
      <c r="F359" s="2" t="n"/>
    </row>
    <row r="360" ht="15.75" customHeight="1" s="38">
      <c r="A360" s="2" t="n"/>
      <c r="B360" s="2" t="n"/>
      <c r="C360" s="2" t="n"/>
      <c r="D360" s="2" t="n"/>
      <c r="E360" s="2" t="n"/>
      <c r="F360" s="2" t="n"/>
    </row>
    <row r="361" ht="15.75" customHeight="1" s="38">
      <c r="A361" s="2" t="n"/>
      <c r="B361" s="2" t="n"/>
      <c r="C361" s="2" t="n"/>
      <c r="D361" s="2" t="n"/>
      <c r="E361" s="2" t="n"/>
      <c r="F361" s="2" t="n"/>
    </row>
    <row r="362" ht="15.75" customHeight="1" s="38">
      <c r="A362" s="2" t="n"/>
      <c r="B362" s="2" t="n"/>
      <c r="C362" s="2" t="n"/>
      <c r="D362" s="2" t="n"/>
      <c r="E362" s="2" t="n"/>
      <c r="F362" s="2" t="n"/>
    </row>
    <row r="363" ht="15.75" customHeight="1" s="38">
      <c r="A363" s="2" t="n"/>
      <c r="B363" s="2" t="n"/>
      <c r="C363" s="2" t="n"/>
      <c r="D363" s="2" t="n"/>
      <c r="E363" s="2" t="n"/>
      <c r="F363" s="2" t="n"/>
    </row>
    <row r="364" ht="15.75" customHeight="1" s="38">
      <c r="A364" s="2" t="n"/>
      <c r="B364" s="2" t="n"/>
      <c r="C364" s="2" t="n"/>
      <c r="D364" s="2" t="n"/>
      <c r="E364" s="2" t="n"/>
      <c r="F364" s="2" t="n"/>
    </row>
    <row r="365" ht="15.75" customHeight="1" s="38">
      <c r="A365" s="2" t="n"/>
      <c r="B365" s="2" t="n"/>
      <c r="C365" s="2" t="n"/>
      <c r="D365" s="2" t="n"/>
      <c r="E365" s="2" t="n"/>
      <c r="F365" s="2" t="n"/>
    </row>
    <row r="366" ht="15.75" customHeight="1" s="38">
      <c r="A366" s="2" t="n"/>
      <c r="B366" s="2" t="n"/>
      <c r="C366" s="2" t="n"/>
      <c r="D366" s="2" t="n"/>
      <c r="E366" s="2" t="n"/>
      <c r="F366" s="2" t="n"/>
    </row>
    <row r="367" ht="15.75" customHeight="1" s="38">
      <c r="A367" s="2" t="n"/>
      <c r="B367" s="2" t="n"/>
      <c r="C367" s="2" t="n"/>
      <c r="D367" s="2" t="n"/>
      <c r="E367" s="2" t="n"/>
      <c r="F367" s="2" t="n"/>
    </row>
    <row r="368" ht="15.75" customHeight="1" s="38">
      <c r="A368" s="2" t="n"/>
      <c r="B368" s="2" t="n"/>
      <c r="C368" s="2" t="n"/>
      <c r="D368" s="2" t="n"/>
      <c r="E368" s="2" t="n"/>
      <c r="F368" s="2" t="n"/>
    </row>
    <row r="369" ht="15.75" customHeight="1" s="38">
      <c r="A369" s="2" t="n"/>
      <c r="B369" s="2" t="n"/>
      <c r="C369" s="2" t="n"/>
      <c r="D369" s="2" t="n"/>
      <c r="E369" s="2" t="n"/>
      <c r="F369" s="2" t="n"/>
    </row>
    <row r="370" ht="15.75" customHeight="1" s="38">
      <c r="A370" s="2" t="n"/>
      <c r="B370" s="2" t="n"/>
      <c r="C370" s="2" t="n"/>
      <c r="D370" s="2" t="n"/>
      <c r="E370" s="2" t="n"/>
      <c r="F370" s="2" t="n"/>
    </row>
    <row r="371" ht="15.75" customHeight="1" s="38">
      <c r="A371" s="2" t="n"/>
      <c r="B371" s="2" t="n"/>
      <c r="C371" s="2" t="n"/>
      <c r="D371" s="2" t="n"/>
      <c r="E371" s="2" t="n"/>
      <c r="F371" s="2" t="n"/>
    </row>
    <row r="372" ht="15.75" customHeight="1" s="38">
      <c r="A372" s="2" t="n"/>
      <c r="B372" s="2" t="n"/>
      <c r="C372" s="2" t="n"/>
      <c r="D372" s="2" t="n"/>
      <c r="E372" s="2" t="n"/>
      <c r="F372" s="2" t="n"/>
    </row>
    <row r="373" ht="15.75" customHeight="1" s="38">
      <c r="A373" s="2" t="n"/>
      <c r="B373" s="2" t="n"/>
      <c r="C373" s="2" t="n"/>
      <c r="D373" s="2" t="n"/>
      <c r="E373" s="2" t="n"/>
      <c r="F373" s="2" t="n"/>
    </row>
    <row r="374" ht="15.75" customHeight="1" s="38">
      <c r="A374" s="2" t="n"/>
      <c r="B374" s="2" t="n"/>
      <c r="C374" s="2" t="n"/>
      <c r="D374" s="2" t="n"/>
      <c r="E374" s="2" t="n"/>
      <c r="F374" s="2" t="n"/>
    </row>
    <row r="375" ht="15.75" customHeight="1" s="38">
      <c r="A375" s="2" t="n"/>
      <c r="B375" s="2" t="n"/>
      <c r="C375" s="2" t="n"/>
      <c r="D375" s="2" t="n"/>
      <c r="E375" s="2" t="n"/>
      <c r="F375" s="2" t="n"/>
    </row>
    <row r="376" ht="15.75" customHeight="1" s="38">
      <c r="A376" s="2" t="n"/>
      <c r="B376" s="2" t="n"/>
      <c r="C376" s="2" t="n"/>
      <c r="D376" s="2" t="n"/>
      <c r="E376" s="2" t="n"/>
      <c r="F376" s="2" t="n"/>
    </row>
    <row r="377" ht="15.75" customHeight="1" s="38">
      <c r="A377" s="2" t="n"/>
      <c r="B377" s="2" t="n"/>
      <c r="C377" s="2" t="n"/>
      <c r="D377" s="2" t="n"/>
      <c r="E377" s="2" t="n"/>
      <c r="F377" s="2" t="n"/>
    </row>
    <row r="378" ht="15.75" customHeight="1" s="38">
      <c r="A378" s="2" t="n"/>
      <c r="B378" s="2" t="n"/>
      <c r="C378" s="2" t="n"/>
      <c r="D378" s="2" t="n"/>
      <c r="E378" s="2" t="n"/>
      <c r="F378" s="2" t="n"/>
    </row>
    <row r="379" ht="15.75" customHeight="1" s="38">
      <c r="A379" s="2" t="n"/>
      <c r="B379" s="2" t="n"/>
      <c r="C379" s="2" t="n"/>
      <c r="D379" s="2" t="n"/>
      <c r="E379" s="2" t="n"/>
      <c r="F379" s="2" t="n"/>
    </row>
    <row r="380" ht="15.75" customHeight="1" s="38">
      <c r="A380" s="2" t="n"/>
      <c r="B380" s="2" t="n"/>
      <c r="C380" s="2" t="n"/>
      <c r="D380" s="2" t="n"/>
      <c r="E380" s="2" t="n"/>
      <c r="F380" s="2" t="n"/>
    </row>
    <row r="381" ht="15.75" customHeight="1" s="38">
      <c r="A381" s="2" t="n"/>
      <c r="B381" s="2" t="n"/>
      <c r="C381" s="2" t="n"/>
      <c r="D381" s="2" t="n"/>
      <c r="E381" s="2" t="n"/>
      <c r="F381" s="2" t="n"/>
    </row>
    <row r="382" ht="15.75" customHeight="1" s="38">
      <c r="A382" s="2" t="n"/>
      <c r="B382" s="2" t="n"/>
      <c r="C382" s="2" t="n"/>
      <c r="D382" s="2" t="n"/>
      <c r="E382" s="2" t="n"/>
      <c r="F382" s="2" t="n"/>
    </row>
    <row r="383" ht="15.75" customHeight="1" s="38">
      <c r="A383" s="2" t="n"/>
      <c r="B383" s="2" t="n"/>
      <c r="C383" s="2" t="n"/>
      <c r="D383" s="2" t="n"/>
      <c r="E383" s="2" t="n"/>
      <c r="F383" s="2" t="n"/>
    </row>
    <row r="384" ht="15.75" customHeight="1" s="38">
      <c r="A384" s="2" t="n"/>
      <c r="B384" s="2" t="n"/>
      <c r="C384" s="2" t="n"/>
      <c r="D384" s="2" t="n"/>
      <c r="E384" s="2" t="n"/>
      <c r="F384" s="2" t="n"/>
    </row>
    <row r="385" ht="15.75" customHeight="1" s="38">
      <c r="A385" s="2" t="n"/>
      <c r="B385" s="2" t="n"/>
      <c r="C385" s="2" t="n"/>
      <c r="D385" s="2" t="n"/>
      <c r="E385" s="2" t="n"/>
      <c r="F385" s="2" t="n"/>
    </row>
    <row r="386" ht="15.75" customHeight="1" s="38">
      <c r="A386" s="2" t="n"/>
      <c r="B386" s="2" t="n"/>
      <c r="C386" s="2" t="n"/>
      <c r="D386" s="2" t="n"/>
      <c r="E386" s="2" t="n"/>
      <c r="F386" s="2" t="n"/>
    </row>
    <row r="387" ht="15.75" customHeight="1" s="38">
      <c r="A387" s="2" t="n"/>
      <c r="B387" s="2" t="n"/>
      <c r="C387" s="2" t="n"/>
      <c r="D387" s="2" t="n"/>
      <c r="E387" s="2" t="n"/>
      <c r="F387" s="2" t="n"/>
    </row>
    <row r="388" ht="15.75" customHeight="1" s="38">
      <c r="A388" s="2" t="n"/>
      <c r="B388" s="2" t="n"/>
      <c r="C388" s="2" t="n"/>
      <c r="D388" s="2" t="n"/>
      <c r="E388" s="2" t="n"/>
      <c r="F388" s="2" t="n"/>
    </row>
    <row r="389" ht="15.75" customHeight="1" s="38">
      <c r="A389" s="2" t="n"/>
      <c r="B389" s="2" t="n"/>
      <c r="C389" s="2" t="n"/>
      <c r="D389" s="2" t="n"/>
      <c r="E389" s="2" t="n"/>
      <c r="F389" s="2" t="n"/>
    </row>
    <row r="390" ht="15.75" customHeight="1" s="38">
      <c r="A390" s="2" t="n"/>
      <c r="B390" s="2" t="n"/>
      <c r="C390" s="2" t="n"/>
      <c r="D390" s="2" t="n"/>
      <c r="E390" s="2" t="n"/>
      <c r="F390" s="2" t="n"/>
    </row>
    <row r="391" ht="15.75" customHeight="1" s="38">
      <c r="A391" s="2" t="n"/>
      <c r="B391" s="2" t="n"/>
      <c r="C391" s="2" t="n"/>
      <c r="D391" s="2" t="n"/>
      <c r="E391" s="2" t="n"/>
      <c r="F391" s="2" t="n"/>
    </row>
    <row r="392" ht="15.75" customHeight="1" s="38">
      <c r="A392" s="2" t="n"/>
      <c r="B392" s="2" t="n"/>
      <c r="C392" s="2" t="n"/>
      <c r="D392" s="2" t="n"/>
      <c r="E392" s="2" t="n"/>
      <c r="F392" s="2" t="n"/>
    </row>
    <row r="393" ht="15.75" customHeight="1" s="38">
      <c r="A393" s="2" t="n"/>
      <c r="B393" s="2" t="n"/>
      <c r="C393" s="2" t="n"/>
      <c r="D393" s="2" t="n"/>
      <c r="E393" s="2" t="n"/>
      <c r="F393" s="2" t="n"/>
    </row>
    <row r="394" ht="15.75" customHeight="1" s="38">
      <c r="A394" s="2" t="n"/>
      <c r="B394" s="2" t="n"/>
      <c r="C394" s="2" t="n"/>
      <c r="D394" s="2" t="n"/>
      <c r="E394" s="2" t="n"/>
      <c r="F394" s="2" t="n"/>
    </row>
    <row r="395" ht="15.75" customHeight="1" s="38">
      <c r="A395" s="2" t="n"/>
      <c r="B395" s="2" t="n"/>
      <c r="C395" s="2" t="n"/>
      <c r="D395" s="2" t="n"/>
      <c r="E395" s="2" t="n"/>
      <c r="F395" s="2" t="n"/>
    </row>
    <row r="396" ht="15.75" customHeight="1" s="38">
      <c r="A396" s="2" t="n"/>
      <c r="B396" s="2" t="n"/>
      <c r="C396" s="2" t="n"/>
      <c r="D396" s="2" t="n"/>
      <c r="E396" s="2" t="n"/>
      <c r="F396" s="2" t="n"/>
    </row>
    <row r="397" ht="15.75" customHeight="1" s="38">
      <c r="A397" s="2" t="n"/>
      <c r="B397" s="2" t="n"/>
      <c r="C397" s="2" t="n"/>
      <c r="D397" s="2" t="n"/>
      <c r="E397" s="2" t="n"/>
      <c r="F397" s="2" t="n"/>
    </row>
    <row r="398" ht="15.75" customHeight="1" s="38">
      <c r="A398" s="2" t="n"/>
      <c r="B398" s="2" t="n"/>
      <c r="C398" s="2" t="n"/>
      <c r="D398" s="2" t="n"/>
      <c r="E398" s="2" t="n"/>
      <c r="F398" s="2" t="n"/>
    </row>
    <row r="399" ht="15.75" customHeight="1" s="38">
      <c r="A399" s="2" t="n"/>
      <c r="B399" s="2" t="n"/>
      <c r="C399" s="2" t="n"/>
      <c r="D399" s="2" t="n"/>
      <c r="E399" s="2" t="n"/>
      <c r="F399" s="2" t="n"/>
    </row>
    <row r="400" ht="15.75" customHeight="1" s="38">
      <c r="A400" s="2" t="n"/>
      <c r="B400" s="2" t="n"/>
      <c r="C400" s="2" t="n"/>
      <c r="D400" s="2" t="n"/>
      <c r="E400" s="2" t="n"/>
      <c r="F400" s="2" t="n"/>
    </row>
    <row r="401" ht="15.75" customHeight="1" s="38">
      <c r="A401" s="2" t="n"/>
      <c r="B401" s="2" t="n"/>
      <c r="C401" s="2" t="n"/>
      <c r="D401" s="2" t="n"/>
      <c r="E401" s="2" t="n"/>
      <c r="F401" s="2" t="n"/>
    </row>
    <row r="402" ht="15.75" customHeight="1" s="38">
      <c r="A402" s="2" t="n"/>
      <c r="B402" s="2" t="n"/>
      <c r="C402" s="2" t="n"/>
      <c r="D402" s="2" t="n"/>
      <c r="E402" s="2" t="n"/>
      <c r="F402" s="2" t="n"/>
    </row>
    <row r="403" ht="15.75" customHeight="1" s="38">
      <c r="A403" s="2" t="n"/>
      <c r="B403" s="2" t="n"/>
      <c r="C403" s="2" t="n"/>
      <c r="D403" s="2" t="n"/>
      <c r="E403" s="2" t="n"/>
      <c r="F403" s="2" t="n"/>
    </row>
    <row r="404" ht="15.75" customHeight="1" s="38">
      <c r="A404" s="2" t="n"/>
      <c r="B404" s="2" t="n"/>
      <c r="C404" s="2" t="n"/>
      <c r="D404" s="2" t="n"/>
      <c r="E404" s="2" t="n"/>
      <c r="F404" s="2" t="n"/>
    </row>
    <row r="405" ht="15.75" customHeight="1" s="38">
      <c r="A405" s="2" t="n"/>
      <c r="B405" s="2" t="n"/>
      <c r="C405" s="2" t="n"/>
      <c r="D405" s="2" t="n"/>
      <c r="E405" s="2" t="n"/>
      <c r="F405" s="2" t="n"/>
    </row>
    <row r="406" ht="15.75" customHeight="1" s="38">
      <c r="A406" s="2" t="n"/>
      <c r="B406" s="2" t="n"/>
      <c r="C406" s="2" t="n"/>
      <c r="D406" s="2" t="n"/>
      <c r="E406" s="2" t="n"/>
      <c r="F406" s="2" t="n"/>
    </row>
    <row r="407" ht="15.75" customHeight="1" s="38">
      <c r="A407" s="2" t="n"/>
      <c r="B407" s="2" t="n"/>
      <c r="C407" s="2" t="n"/>
      <c r="D407" s="2" t="n"/>
      <c r="E407" s="2" t="n"/>
      <c r="F407" s="2" t="n"/>
    </row>
    <row r="408" ht="15.75" customHeight="1" s="38">
      <c r="A408" s="2" t="n"/>
      <c r="B408" s="2" t="n"/>
      <c r="C408" s="2" t="n"/>
      <c r="D408" s="2" t="n"/>
      <c r="E408" s="2" t="n"/>
      <c r="F408" s="2" t="n"/>
    </row>
    <row r="409" ht="15.75" customHeight="1" s="38">
      <c r="A409" s="2" t="n"/>
      <c r="B409" s="2" t="n"/>
      <c r="C409" s="2" t="n"/>
      <c r="D409" s="2" t="n"/>
      <c r="E409" s="2" t="n"/>
      <c r="F409" s="2" t="n"/>
    </row>
    <row r="410" ht="15.75" customHeight="1" s="38">
      <c r="A410" s="2" t="n"/>
      <c r="B410" s="2" t="n"/>
      <c r="C410" s="2" t="n"/>
      <c r="D410" s="2" t="n"/>
      <c r="E410" s="2" t="n"/>
      <c r="F410" s="2" t="n"/>
    </row>
    <row r="411" ht="15.75" customHeight="1" s="38">
      <c r="A411" s="2" t="n"/>
      <c r="B411" s="2" t="n"/>
      <c r="C411" s="2" t="n"/>
      <c r="D411" s="2" t="n"/>
      <c r="E411" s="2" t="n"/>
      <c r="F411" s="2" t="n"/>
    </row>
    <row r="412" ht="15.75" customHeight="1" s="38">
      <c r="A412" s="2" t="n"/>
      <c r="B412" s="2" t="n"/>
      <c r="C412" s="2" t="n"/>
      <c r="D412" s="2" t="n"/>
      <c r="E412" s="2" t="n"/>
      <c r="F412" s="2" t="n"/>
    </row>
    <row r="413" ht="15.75" customHeight="1" s="38">
      <c r="A413" s="2" t="n"/>
      <c r="B413" s="2" t="n"/>
      <c r="C413" s="2" t="n"/>
      <c r="D413" s="2" t="n"/>
      <c r="E413" s="2" t="n"/>
      <c r="F413" s="2" t="n"/>
    </row>
    <row r="414" ht="15.75" customHeight="1" s="38">
      <c r="A414" s="2" t="n"/>
      <c r="B414" s="2" t="n"/>
      <c r="C414" s="2" t="n"/>
      <c r="D414" s="2" t="n"/>
      <c r="E414" s="2" t="n"/>
      <c r="F414" s="2" t="n"/>
    </row>
    <row r="415" ht="15.75" customHeight="1" s="38">
      <c r="A415" s="2" t="n"/>
      <c r="B415" s="2" t="n"/>
      <c r="C415" s="2" t="n"/>
      <c r="D415" s="2" t="n"/>
      <c r="E415" s="2" t="n"/>
      <c r="F415" s="2" t="n"/>
    </row>
    <row r="416" ht="15.75" customHeight="1" s="38">
      <c r="A416" s="2" t="n"/>
      <c r="B416" s="2" t="n"/>
      <c r="C416" s="2" t="n"/>
      <c r="D416" s="2" t="n"/>
      <c r="E416" s="2" t="n"/>
      <c r="F416" s="2" t="n"/>
    </row>
    <row r="417" ht="15.75" customHeight="1" s="38">
      <c r="A417" s="2" t="n"/>
      <c r="B417" s="2" t="n"/>
      <c r="C417" s="2" t="n"/>
      <c r="D417" s="2" t="n"/>
      <c r="E417" s="2" t="n"/>
      <c r="F417" s="2" t="n"/>
    </row>
    <row r="418" ht="15.75" customHeight="1" s="38">
      <c r="A418" s="2" t="n"/>
      <c r="B418" s="2" t="n"/>
      <c r="C418" s="2" t="n"/>
      <c r="D418" s="2" t="n"/>
      <c r="E418" s="2" t="n"/>
      <c r="F418" s="2" t="n"/>
    </row>
    <row r="419" ht="15.75" customHeight="1" s="38">
      <c r="A419" s="2" t="n"/>
      <c r="B419" s="2" t="n"/>
      <c r="C419" s="2" t="n"/>
      <c r="D419" s="2" t="n"/>
      <c r="E419" s="2" t="n"/>
      <c r="F419" s="2" t="n"/>
    </row>
    <row r="420" ht="15.75" customHeight="1" s="38">
      <c r="A420" s="2" t="n"/>
      <c r="B420" s="2" t="n"/>
      <c r="C420" s="2" t="n"/>
      <c r="D420" s="2" t="n"/>
      <c r="E420" s="2" t="n"/>
      <c r="F420" s="2" t="n"/>
    </row>
    <row r="421" ht="15.75" customHeight="1" s="38">
      <c r="A421" s="2" t="n"/>
      <c r="B421" s="2" t="n"/>
      <c r="C421" s="2" t="n"/>
      <c r="D421" s="2" t="n"/>
      <c r="E421" s="2" t="n"/>
      <c r="F421" s="2" t="n"/>
    </row>
    <row r="422" ht="15.75" customHeight="1" s="38">
      <c r="A422" s="2" t="n"/>
      <c r="B422" s="2" t="n"/>
      <c r="C422" s="2" t="n"/>
      <c r="D422" s="2" t="n"/>
      <c r="E422" s="2" t="n"/>
      <c r="F422" s="2" t="n"/>
    </row>
    <row r="423" ht="15.75" customHeight="1" s="38">
      <c r="A423" s="2" t="n"/>
      <c r="B423" s="2" t="n"/>
      <c r="C423" s="2" t="n"/>
      <c r="D423" s="2" t="n"/>
      <c r="E423" s="2" t="n"/>
      <c r="F423" s="2" t="n"/>
    </row>
    <row r="424" ht="15.75" customHeight="1" s="38">
      <c r="A424" s="2" t="n"/>
      <c r="B424" s="2" t="n"/>
      <c r="C424" s="2" t="n"/>
      <c r="D424" s="2" t="n"/>
      <c r="E424" s="2" t="n"/>
      <c r="F424" s="2" t="n"/>
    </row>
    <row r="425" ht="15.75" customHeight="1" s="38">
      <c r="A425" s="2" t="n"/>
      <c r="B425" s="2" t="n"/>
      <c r="C425" s="2" t="n"/>
      <c r="D425" s="2" t="n"/>
      <c r="E425" s="2" t="n"/>
      <c r="F425" s="2" t="n"/>
    </row>
    <row r="426" ht="15.75" customHeight="1" s="38">
      <c r="A426" s="2" t="n"/>
      <c r="B426" s="2" t="n"/>
      <c r="C426" s="2" t="n"/>
      <c r="D426" s="2" t="n"/>
      <c r="E426" s="2" t="n"/>
      <c r="F426" s="2" t="n"/>
    </row>
    <row r="427" ht="15.75" customHeight="1" s="38">
      <c r="A427" s="2" t="n"/>
      <c r="B427" s="2" t="n"/>
      <c r="C427" s="2" t="n"/>
      <c r="D427" s="2" t="n"/>
      <c r="E427" s="2" t="n"/>
      <c r="F427" s="2" t="n"/>
    </row>
    <row r="428" ht="15.75" customHeight="1" s="38">
      <c r="A428" s="2" t="n"/>
      <c r="B428" s="2" t="n"/>
      <c r="C428" s="2" t="n"/>
      <c r="D428" s="2" t="n"/>
      <c r="E428" s="2" t="n"/>
      <c r="F428" s="2" t="n"/>
    </row>
    <row r="429" ht="15.75" customHeight="1" s="38">
      <c r="A429" s="2" t="n"/>
      <c r="B429" s="2" t="n"/>
      <c r="C429" s="2" t="n"/>
      <c r="D429" s="2" t="n"/>
      <c r="E429" s="2" t="n"/>
      <c r="F429" s="2" t="n"/>
    </row>
    <row r="430" ht="15.75" customHeight="1" s="38">
      <c r="A430" s="2" t="n"/>
      <c r="B430" s="2" t="n"/>
      <c r="C430" s="2" t="n"/>
      <c r="D430" s="2" t="n"/>
      <c r="E430" s="2" t="n"/>
      <c r="F430" s="2" t="n"/>
    </row>
    <row r="431" ht="15.75" customHeight="1" s="38">
      <c r="A431" s="2" t="n"/>
      <c r="B431" s="2" t="n"/>
      <c r="C431" s="2" t="n"/>
      <c r="D431" s="2" t="n"/>
      <c r="E431" s="2" t="n"/>
      <c r="F431" s="2" t="n"/>
    </row>
    <row r="432" ht="15.75" customHeight="1" s="38">
      <c r="A432" s="2" t="n"/>
      <c r="B432" s="2" t="n"/>
      <c r="C432" s="2" t="n"/>
      <c r="D432" s="2" t="n"/>
      <c r="E432" s="2" t="n"/>
      <c r="F432" s="2" t="n"/>
    </row>
    <row r="433" ht="15.75" customHeight="1" s="38">
      <c r="A433" s="2" t="n"/>
      <c r="B433" s="2" t="n"/>
      <c r="C433" s="2" t="n"/>
      <c r="D433" s="2" t="n"/>
      <c r="E433" s="2" t="n"/>
      <c r="F433" s="2" t="n"/>
    </row>
    <row r="434" ht="15.75" customHeight="1" s="38">
      <c r="A434" s="2" t="n"/>
      <c r="B434" s="2" t="n"/>
      <c r="C434" s="2" t="n"/>
      <c r="D434" s="2" t="n"/>
      <c r="E434" s="2" t="n"/>
      <c r="F434" s="2" t="n"/>
    </row>
    <row r="435" ht="15.75" customHeight="1" s="38">
      <c r="A435" s="2" t="n"/>
      <c r="B435" s="2" t="n"/>
      <c r="C435" s="2" t="n"/>
      <c r="D435" s="2" t="n"/>
      <c r="E435" s="2" t="n"/>
      <c r="F435" s="2" t="n"/>
    </row>
    <row r="436" ht="15.75" customHeight="1" s="38">
      <c r="A436" s="2" t="n"/>
      <c r="B436" s="2" t="n"/>
      <c r="C436" s="2" t="n"/>
      <c r="D436" s="2" t="n"/>
      <c r="E436" s="2" t="n"/>
      <c r="F436" s="2" t="n"/>
    </row>
    <row r="437" ht="15.75" customHeight="1" s="38">
      <c r="A437" s="2" t="n"/>
      <c r="B437" s="2" t="n"/>
      <c r="C437" s="2" t="n"/>
      <c r="D437" s="2" t="n"/>
      <c r="E437" s="2" t="n"/>
      <c r="F437" s="2" t="n"/>
    </row>
    <row r="438" ht="15.75" customHeight="1" s="38">
      <c r="A438" s="2" t="n"/>
      <c r="B438" s="2" t="n"/>
      <c r="C438" s="2" t="n"/>
      <c r="D438" s="2" t="n"/>
      <c r="E438" s="2" t="n"/>
      <c r="F438" s="2" t="n"/>
    </row>
    <row r="439" ht="15.75" customHeight="1" s="38">
      <c r="A439" s="2" t="n"/>
      <c r="B439" s="2" t="n"/>
      <c r="C439" s="2" t="n"/>
      <c r="D439" s="2" t="n"/>
      <c r="E439" s="2" t="n"/>
      <c r="F439" s="2" t="n"/>
    </row>
    <row r="440" ht="15.75" customHeight="1" s="38">
      <c r="A440" s="2" t="n"/>
      <c r="B440" s="2" t="n"/>
      <c r="C440" s="2" t="n"/>
      <c r="D440" s="2" t="n"/>
      <c r="E440" s="2" t="n"/>
      <c r="F440" s="2" t="n"/>
    </row>
    <row r="441" ht="15.75" customHeight="1" s="38">
      <c r="A441" s="2" t="n"/>
      <c r="B441" s="2" t="n"/>
      <c r="C441" s="2" t="n"/>
      <c r="D441" s="2" t="n"/>
      <c r="E441" s="2" t="n"/>
      <c r="F441" s="2" t="n"/>
    </row>
    <row r="442" ht="15.75" customHeight="1" s="38">
      <c r="A442" s="2" t="n"/>
      <c r="B442" s="2" t="n"/>
      <c r="C442" s="2" t="n"/>
      <c r="D442" s="2" t="n"/>
      <c r="E442" s="2" t="n"/>
      <c r="F442" s="2" t="n"/>
    </row>
    <row r="443" ht="15.75" customHeight="1" s="38">
      <c r="A443" s="2" t="n"/>
      <c r="B443" s="2" t="n"/>
      <c r="C443" s="2" t="n"/>
      <c r="D443" s="2" t="n"/>
      <c r="E443" s="2" t="n"/>
      <c r="F443" s="2" t="n"/>
    </row>
    <row r="444" ht="15.75" customHeight="1" s="38">
      <c r="A444" s="2" t="n"/>
      <c r="B444" s="2" t="n"/>
      <c r="C444" s="2" t="n"/>
      <c r="D444" s="2" t="n"/>
      <c r="E444" s="2" t="n"/>
      <c r="F444" s="2" t="n"/>
    </row>
    <row r="445" ht="15.75" customHeight="1" s="38">
      <c r="A445" s="2" t="n"/>
      <c r="B445" s="2" t="n"/>
      <c r="C445" s="2" t="n"/>
      <c r="D445" s="2" t="n"/>
      <c r="E445" s="2" t="n"/>
      <c r="F445" s="2" t="n"/>
    </row>
    <row r="446" ht="15.75" customHeight="1" s="38">
      <c r="A446" s="2" t="n"/>
      <c r="B446" s="2" t="n"/>
      <c r="C446" s="2" t="n"/>
      <c r="D446" s="2" t="n"/>
      <c r="E446" s="2" t="n"/>
      <c r="F446" s="2" t="n"/>
    </row>
    <row r="447" ht="15.75" customHeight="1" s="38">
      <c r="A447" s="2" t="n"/>
      <c r="B447" s="2" t="n"/>
      <c r="C447" s="2" t="n"/>
      <c r="D447" s="2" t="n"/>
      <c r="E447" s="2" t="n"/>
      <c r="F447" s="2" t="n"/>
    </row>
    <row r="448" ht="15.75" customHeight="1" s="38">
      <c r="A448" s="2" t="n"/>
      <c r="B448" s="2" t="n"/>
      <c r="C448" s="2" t="n"/>
      <c r="D448" s="2" t="n"/>
      <c r="E448" s="2" t="n"/>
      <c r="F448" s="2" t="n"/>
    </row>
    <row r="449" ht="15.75" customHeight="1" s="38">
      <c r="A449" s="2" t="n"/>
      <c r="B449" s="2" t="n"/>
      <c r="C449" s="2" t="n"/>
      <c r="D449" s="2" t="n"/>
      <c r="E449" s="2" t="n"/>
      <c r="F449" s="2" t="n"/>
    </row>
    <row r="450" ht="15.75" customHeight="1" s="38">
      <c r="A450" s="2" t="n"/>
      <c r="B450" s="2" t="n"/>
      <c r="C450" s="2" t="n"/>
      <c r="D450" s="2" t="n"/>
      <c r="E450" s="2" t="n"/>
      <c r="F450" s="2" t="n"/>
    </row>
    <row r="451" ht="15.75" customHeight="1" s="38">
      <c r="A451" s="2" t="n"/>
      <c r="B451" s="2" t="n"/>
      <c r="C451" s="2" t="n"/>
      <c r="D451" s="2" t="n"/>
      <c r="E451" s="2" t="n"/>
      <c r="F451" s="2" t="n"/>
    </row>
    <row r="452" ht="15.75" customHeight="1" s="38">
      <c r="A452" s="2" t="n"/>
      <c r="B452" s="2" t="n"/>
      <c r="C452" s="2" t="n"/>
      <c r="D452" s="2" t="n"/>
      <c r="E452" s="2" t="n"/>
      <c r="F452" s="2" t="n"/>
    </row>
    <row r="453" ht="15.75" customHeight="1" s="38">
      <c r="A453" s="2" t="n"/>
      <c r="B453" s="2" t="n"/>
      <c r="C453" s="2" t="n"/>
      <c r="D453" s="2" t="n"/>
      <c r="E453" s="2" t="n"/>
      <c r="F453" s="2" t="n"/>
    </row>
    <row r="454" ht="15.75" customHeight="1" s="38">
      <c r="A454" s="2" t="n"/>
      <c r="B454" s="2" t="n"/>
      <c r="C454" s="2" t="n"/>
      <c r="D454" s="2" t="n"/>
      <c r="E454" s="2" t="n"/>
      <c r="F454" s="2" t="n"/>
    </row>
    <row r="455" ht="15.75" customHeight="1" s="38">
      <c r="A455" s="2" t="n"/>
      <c r="B455" s="2" t="n"/>
      <c r="C455" s="2" t="n"/>
      <c r="D455" s="2" t="n"/>
      <c r="E455" s="2" t="n"/>
      <c r="F455" s="2" t="n"/>
    </row>
    <row r="456" ht="15.75" customHeight="1" s="38">
      <c r="A456" s="2" t="n"/>
      <c r="B456" s="2" t="n"/>
      <c r="C456" s="2" t="n"/>
      <c r="D456" s="2" t="n"/>
      <c r="E456" s="2" t="n"/>
      <c r="F456" s="2" t="n"/>
    </row>
    <row r="457" ht="15.75" customHeight="1" s="38">
      <c r="A457" s="2" t="n"/>
      <c r="B457" s="2" t="n"/>
      <c r="C457" s="2" t="n"/>
      <c r="D457" s="2" t="n"/>
      <c r="E457" s="2" t="n"/>
      <c r="F457" s="2" t="n"/>
    </row>
    <row r="458" ht="15.75" customHeight="1" s="38">
      <c r="A458" s="2" t="n"/>
      <c r="B458" s="2" t="n"/>
      <c r="C458" s="2" t="n"/>
      <c r="D458" s="2" t="n"/>
      <c r="E458" s="2" t="n"/>
      <c r="F458" s="2" t="n"/>
    </row>
    <row r="459" ht="15.75" customHeight="1" s="38">
      <c r="A459" s="2" t="n"/>
      <c r="B459" s="2" t="n"/>
      <c r="C459" s="2" t="n"/>
      <c r="D459" s="2" t="n"/>
      <c r="E459" s="2" t="n"/>
      <c r="F459" s="2" t="n"/>
    </row>
    <row r="460" ht="15.75" customHeight="1" s="38">
      <c r="A460" s="2" t="n"/>
      <c r="B460" s="2" t="n"/>
      <c r="C460" s="2" t="n"/>
      <c r="D460" s="2" t="n"/>
      <c r="E460" s="2" t="n"/>
      <c r="F460" s="2" t="n"/>
    </row>
    <row r="461" ht="15.75" customHeight="1" s="38">
      <c r="A461" s="2" t="n"/>
      <c r="B461" s="2" t="n"/>
      <c r="C461" s="2" t="n"/>
      <c r="D461" s="2" t="n"/>
      <c r="E461" s="2" t="n"/>
      <c r="F461" s="2" t="n"/>
    </row>
    <row r="462" ht="15.75" customHeight="1" s="38">
      <c r="A462" s="2" t="n"/>
      <c r="B462" s="2" t="n"/>
      <c r="C462" s="2" t="n"/>
      <c r="D462" s="2" t="n"/>
      <c r="E462" s="2" t="n"/>
      <c r="F462" s="2" t="n"/>
    </row>
    <row r="463" ht="15.75" customHeight="1" s="38">
      <c r="A463" s="2" t="n"/>
      <c r="B463" s="2" t="n"/>
      <c r="C463" s="2" t="n"/>
      <c r="D463" s="2" t="n"/>
      <c r="E463" s="2" t="n"/>
      <c r="F463" s="2" t="n"/>
    </row>
    <row r="464" ht="15.75" customHeight="1" s="38">
      <c r="A464" s="2" t="n"/>
      <c r="B464" s="2" t="n"/>
      <c r="C464" s="2" t="n"/>
      <c r="D464" s="2" t="n"/>
      <c r="E464" s="2" t="n"/>
      <c r="F464" s="2" t="n"/>
    </row>
    <row r="465" ht="15.75" customHeight="1" s="38">
      <c r="A465" s="2" t="n"/>
      <c r="B465" s="2" t="n"/>
      <c r="C465" s="2" t="n"/>
      <c r="D465" s="2" t="n"/>
      <c r="E465" s="2" t="n"/>
      <c r="F465" s="2" t="n"/>
    </row>
    <row r="466" ht="15.75" customHeight="1" s="38">
      <c r="A466" s="2" t="n"/>
      <c r="B466" s="2" t="n"/>
      <c r="C466" s="2" t="n"/>
      <c r="D466" s="2" t="n"/>
      <c r="E466" s="2" t="n"/>
      <c r="F466" s="2" t="n"/>
    </row>
    <row r="467" ht="15.75" customHeight="1" s="38">
      <c r="A467" s="2" t="n"/>
      <c r="B467" s="2" t="n"/>
      <c r="C467" s="2" t="n"/>
      <c r="D467" s="2" t="n"/>
      <c r="E467" s="2" t="n"/>
      <c r="F467" s="2" t="n"/>
    </row>
    <row r="468" ht="15.75" customHeight="1" s="38">
      <c r="A468" s="2" t="n"/>
      <c r="B468" s="2" t="n"/>
      <c r="C468" s="2" t="n"/>
      <c r="D468" s="2" t="n"/>
      <c r="E468" s="2" t="n"/>
      <c r="F468" s="2" t="n"/>
    </row>
    <row r="469" ht="15.75" customHeight="1" s="38">
      <c r="A469" s="2" t="n"/>
      <c r="B469" s="2" t="n"/>
      <c r="C469" s="2" t="n"/>
      <c r="D469" s="2" t="n"/>
      <c r="E469" s="2" t="n"/>
      <c r="F469" s="2" t="n"/>
    </row>
    <row r="470" ht="15.75" customHeight="1" s="38">
      <c r="A470" s="2" t="n"/>
      <c r="B470" s="2" t="n"/>
      <c r="C470" s="2" t="n"/>
      <c r="D470" s="2" t="n"/>
      <c r="E470" s="2" t="n"/>
      <c r="F470" s="2" t="n"/>
    </row>
    <row r="471" ht="15.75" customHeight="1" s="38">
      <c r="A471" s="2" t="n"/>
      <c r="B471" s="2" t="n"/>
      <c r="C471" s="2" t="n"/>
      <c r="D471" s="2" t="n"/>
      <c r="E471" s="2" t="n"/>
      <c r="F471" s="2" t="n"/>
    </row>
    <row r="472" ht="15.75" customHeight="1" s="38">
      <c r="A472" s="2" t="n"/>
      <c r="B472" s="2" t="n"/>
      <c r="C472" s="2" t="n"/>
      <c r="D472" s="2" t="n"/>
      <c r="E472" s="2" t="n"/>
      <c r="F472" s="2" t="n"/>
    </row>
    <row r="473" ht="15.75" customHeight="1" s="38">
      <c r="A473" s="2" t="n"/>
      <c r="B473" s="2" t="n"/>
      <c r="C473" s="2" t="n"/>
      <c r="D473" s="2" t="n"/>
      <c r="E473" s="2" t="n"/>
      <c r="F473" s="2" t="n"/>
    </row>
    <row r="474" ht="15.75" customHeight="1" s="38">
      <c r="A474" s="2" t="n"/>
      <c r="B474" s="2" t="n"/>
      <c r="C474" s="2" t="n"/>
      <c r="D474" s="2" t="n"/>
      <c r="E474" s="2" t="n"/>
      <c r="F474" s="2" t="n"/>
    </row>
    <row r="475" ht="15.75" customHeight="1" s="38">
      <c r="A475" s="2" t="n"/>
      <c r="B475" s="2" t="n"/>
      <c r="C475" s="2" t="n"/>
      <c r="D475" s="2" t="n"/>
      <c r="E475" s="2" t="n"/>
      <c r="F475" s="2" t="n"/>
    </row>
    <row r="476" ht="15.75" customHeight="1" s="38">
      <c r="A476" s="2" t="n"/>
      <c r="B476" s="2" t="n"/>
      <c r="C476" s="2" t="n"/>
      <c r="D476" s="2" t="n"/>
      <c r="E476" s="2" t="n"/>
      <c r="F476" s="2" t="n"/>
    </row>
    <row r="477" ht="15.75" customHeight="1" s="38">
      <c r="A477" s="2" t="n"/>
      <c r="B477" s="2" t="n"/>
      <c r="C477" s="2" t="n"/>
      <c r="D477" s="2" t="n"/>
      <c r="E477" s="2" t="n"/>
      <c r="F477" s="2" t="n"/>
    </row>
    <row r="478" ht="15.75" customHeight="1" s="38">
      <c r="A478" s="2" t="n"/>
      <c r="B478" s="2" t="n"/>
      <c r="C478" s="2" t="n"/>
      <c r="D478" s="2" t="n"/>
      <c r="E478" s="2" t="n"/>
      <c r="F478" s="2" t="n"/>
    </row>
    <row r="479" ht="15.75" customHeight="1" s="38">
      <c r="A479" s="2" t="n"/>
      <c r="B479" s="2" t="n"/>
      <c r="C479" s="2" t="n"/>
      <c r="D479" s="2" t="n"/>
      <c r="E479" s="2" t="n"/>
      <c r="F479" s="2" t="n"/>
    </row>
    <row r="480" ht="15.75" customHeight="1" s="38">
      <c r="A480" s="2" t="n"/>
      <c r="B480" s="2" t="n"/>
      <c r="C480" s="2" t="n"/>
      <c r="D480" s="2" t="n"/>
      <c r="E480" s="2" t="n"/>
      <c r="F480" s="2" t="n"/>
    </row>
    <row r="481" ht="15.75" customHeight="1" s="38">
      <c r="A481" s="2" t="n"/>
      <c r="B481" s="2" t="n"/>
      <c r="C481" s="2" t="n"/>
      <c r="D481" s="2" t="n"/>
      <c r="E481" s="2" t="n"/>
      <c r="F481" s="2" t="n"/>
    </row>
    <row r="482" ht="15.75" customHeight="1" s="38">
      <c r="A482" s="2" t="n"/>
      <c r="B482" s="2" t="n"/>
      <c r="C482" s="2" t="n"/>
      <c r="D482" s="2" t="n"/>
      <c r="E482" s="2" t="n"/>
      <c r="F482" s="2" t="n"/>
    </row>
    <row r="483" ht="15.75" customHeight="1" s="38">
      <c r="A483" s="2" t="n"/>
      <c r="B483" s="2" t="n"/>
      <c r="C483" s="2" t="n"/>
      <c r="D483" s="2" t="n"/>
      <c r="E483" s="2" t="n"/>
      <c r="F483" s="2" t="n"/>
    </row>
    <row r="484" ht="15.75" customHeight="1" s="38">
      <c r="A484" s="2" t="n"/>
      <c r="B484" s="2" t="n"/>
      <c r="C484" s="2" t="n"/>
      <c r="D484" s="2" t="n"/>
      <c r="E484" s="2" t="n"/>
      <c r="F484" s="2" t="n"/>
    </row>
    <row r="485" ht="15.75" customHeight="1" s="38">
      <c r="A485" s="2" t="n"/>
      <c r="B485" s="2" t="n"/>
      <c r="C485" s="2" t="n"/>
      <c r="D485" s="2" t="n"/>
      <c r="E485" s="2" t="n"/>
      <c r="F485" s="2" t="n"/>
    </row>
    <row r="486" ht="15.75" customHeight="1" s="38">
      <c r="A486" s="2" t="n"/>
      <c r="B486" s="2" t="n"/>
      <c r="C486" s="2" t="n"/>
      <c r="D486" s="2" t="n"/>
      <c r="E486" s="2" t="n"/>
      <c r="F486" s="2" t="n"/>
    </row>
    <row r="487" ht="15.75" customHeight="1" s="38">
      <c r="A487" s="2" t="n"/>
      <c r="B487" s="2" t="n"/>
      <c r="C487" s="2" t="n"/>
      <c r="D487" s="2" t="n"/>
      <c r="E487" s="2" t="n"/>
      <c r="F487" s="2" t="n"/>
    </row>
    <row r="488" ht="15.75" customHeight="1" s="38">
      <c r="A488" s="2" t="n"/>
      <c r="B488" s="2" t="n"/>
      <c r="C488" s="2" t="n"/>
      <c r="D488" s="2" t="n"/>
      <c r="E488" s="2" t="n"/>
      <c r="F488" s="2" t="n"/>
    </row>
    <row r="489" ht="15.75" customHeight="1" s="38">
      <c r="A489" s="2" t="n"/>
      <c r="B489" s="2" t="n"/>
      <c r="C489" s="2" t="n"/>
      <c r="D489" s="2" t="n"/>
      <c r="E489" s="2" t="n"/>
      <c r="F489" s="2" t="n"/>
    </row>
    <row r="490" ht="15.75" customHeight="1" s="38">
      <c r="A490" s="2" t="n"/>
      <c r="B490" s="2" t="n"/>
      <c r="C490" s="2" t="n"/>
      <c r="D490" s="2" t="n"/>
      <c r="E490" s="2" t="n"/>
      <c r="F490" s="2" t="n"/>
    </row>
    <row r="491" ht="15.75" customHeight="1" s="38">
      <c r="A491" s="2" t="n"/>
      <c r="B491" s="2" t="n"/>
      <c r="C491" s="2" t="n"/>
      <c r="D491" s="2" t="n"/>
      <c r="E491" s="2" t="n"/>
      <c r="F491" s="2" t="n"/>
    </row>
    <row r="492" ht="15.75" customHeight="1" s="38">
      <c r="A492" s="2" t="n"/>
      <c r="B492" s="2" t="n"/>
      <c r="C492" s="2" t="n"/>
      <c r="D492" s="2" t="n"/>
      <c r="E492" s="2" t="n"/>
      <c r="F492" s="2" t="n"/>
    </row>
    <row r="493" ht="15.75" customHeight="1" s="38">
      <c r="A493" s="2" t="n"/>
      <c r="B493" s="2" t="n"/>
      <c r="C493" s="2" t="n"/>
      <c r="D493" s="2" t="n"/>
      <c r="E493" s="2" t="n"/>
      <c r="F493" s="2" t="n"/>
    </row>
    <row r="494" ht="15.75" customHeight="1" s="38">
      <c r="A494" s="2" t="n"/>
      <c r="B494" s="2" t="n"/>
      <c r="C494" s="2" t="n"/>
      <c r="D494" s="2" t="n"/>
      <c r="E494" s="2" t="n"/>
      <c r="F494" s="2" t="n"/>
    </row>
    <row r="495" ht="15.75" customHeight="1" s="38">
      <c r="A495" s="2" t="n"/>
      <c r="B495" s="2" t="n"/>
      <c r="C495" s="2" t="n"/>
      <c r="D495" s="2" t="n"/>
      <c r="E495" s="2" t="n"/>
      <c r="F495" s="2" t="n"/>
    </row>
    <row r="496" ht="15.75" customHeight="1" s="38">
      <c r="A496" s="2" t="n"/>
      <c r="B496" s="2" t="n"/>
      <c r="C496" s="2" t="n"/>
      <c r="D496" s="2" t="n"/>
      <c r="E496" s="2" t="n"/>
      <c r="F496" s="2" t="n"/>
    </row>
    <row r="497" ht="15.75" customHeight="1" s="38">
      <c r="A497" s="2" t="n"/>
      <c r="B497" s="2" t="n"/>
      <c r="C497" s="2" t="n"/>
      <c r="D497" s="2" t="n"/>
      <c r="E497" s="2" t="n"/>
      <c r="F497" s="2" t="n"/>
    </row>
    <row r="498" ht="15.75" customHeight="1" s="38">
      <c r="A498" s="2" t="n"/>
      <c r="B498" s="2" t="n"/>
      <c r="C498" s="2" t="n"/>
      <c r="D498" s="2" t="n"/>
      <c r="E498" s="2" t="n"/>
      <c r="F498" s="2" t="n"/>
    </row>
    <row r="499" ht="15.75" customHeight="1" s="38">
      <c r="A499" s="2" t="n"/>
      <c r="B499" s="2" t="n"/>
      <c r="C499" s="2" t="n"/>
      <c r="D499" s="2" t="n"/>
      <c r="E499" s="2" t="n"/>
      <c r="F499" s="2" t="n"/>
    </row>
    <row r="500" ht="15.75" customHeight="1" s="38">
      <c r="A500" s="2" t="n"/>
      <c r="B500" s="2" t="n"/>
      <c r="C500" s="2" t="n"/>
      <c r="D500" s="2" t="n"/>
      <c r="E500" s="2" t="n"/>
      <c r="F500" s="2" t="n"/>
    </row>
    <row r="501" ht="15.75" customHeight="1" s="38">
      <c r="A501" s="2" t="n"/>
      <c r="B501" s="2" t="n"/>
      <c r="C501" s="2" t="n"/>
      <c r="D501" s="2" t="n"/>
      <c r="E501" s="2" t="n"/>
      <c r="F501" s="2" t="n"/>
    </row>
    <row r="502" ht="15.75" customHeight="1" s="38">
      <c r="A502" s="2" t="n"/>
      <c r="B502" s="2" t="n"/>
      <c r="C502" s="2" t="n"/>
      <c r="D502" s="2" t="n"/>
      <c r="E502" s="2" t="n"/>
      <c r="F502" s="2" t="n"/>
    </row>
    <row r="503" ht="15.75" customHeight="1" s="38">
      <c r="A503" s="2" t="n"/>
      <c r="B503" s="2" t="n"/>
      <c r="C503" s="2" t="n"/>
      <c r="D503" s="2" t="n"/>
      <c r="E503" s="2" t="n"/>
      <c r="F503" s="2" t="n"/>
    </row>
    <row r="504" ht="15.75" customHeight="1" s="38">
      <c r="A504" s="2" t="n"/>
      <c r="B504" s="2" t="n"/>
      <c r="C504" s="2" t="n"/>
      <c r="D504" s="2" t="n"/>
      <c r="E504" s="2" t="n"/>
      <c r="F504" s="2" t="n"/>
    </row>
    <row r="505" ht="15.75" customHeight="1" s="38">
      <c r="A505" s="2" t="n"/>
      <c r="B505" s="2" t="n"/>
      <c r="C505" s="2" t="n"/>
      <c r="D505" s="2" t="n"/>
      <c r="E505" s="2" t="n"/>
      <c r="F505" s="2" t="n"/>
    </row>
    <row r="506" ht="15.75" customHeight="1" s="38">
      <c r="A506" s="2" t="n"/>
      <c r="B506" s="2" t="n"/>
      <c r="C506" s="2" t="n"/>
      <c r="D506" s="2" t="n"/>
      <c r="E506" s="2" t="n"/>
      <c r="F506" s="2" t="n"/>
    </row>
    <row r="507" ht="15.75" customHeight="1" s="38">
      <c r="A507" s="2" t="n"/>
      <c r="B507" s="2" t="n"/>
      <c r="C507" s="2" t="n"/>
      <c r="D507" s="2" t="n"/>
      <c r="E507" s="2" t="n"/>
      <c r="F507" s="2" t="n"/>
    </row>
    <row r="508" ht="15.75" customHeight="1" s="38">
      <c r="A508" s="2" t="n"/>
      <c r="B508" s="2" t="n"/>
      <c r="C508" s="2" t="n"/>
      <c r="D508" s="2" t="n"/>
      <c r="E508" s="2" t="n"/>
      <c r="F508" s="2" t="n"/>
    </row>
    <row r="509" ht="15.75" customHeight="1" s="38">
      <c r="A509" s="2" t="n"/>
      <c r="B509" s="2" t="n"/>
      <c r="C509" s="2" t="n"/>
      <c r="D509" s="2" t="n"/>
      <c r="E509" s="2" t="n"/>
      <c r="F509" s="2" t="n"/>
    </row>
    <row r="510" ht="15.75" customHeight="1" s="38">
      <c r="A510" s="2" t="n"/>
      <c r="B510" s="2" t="n"/>
      <c r="C510" s="2" t="n"/>
      <c r="D510" s="2" t="n"/>
      <c r="E510" s="2" t="n"/>
      <c r="F510" s="2" t="n"/>
    </row>
    <row r="511" ht="15.75" customHeight="1" s="38">
      <c r="A511" s="2" t="n"/>
      <c r="B511" s="2" t="n"/>
      <c r="C511" s="2" t="n"/>
      <c r="D511" s="2" t="n"/>
      <c r="E511" s="2" t="n"/>
      <c r="F511" s="2" t="n"/>
    </row>
    <row r="512" ht="15.75" customHeight="1" s="38">
      <c r="A512" s="2" t="n"/>
      <c r="B512" s="2" t="n"/>
      <c r="C512" s="2" t="n"/>
      <c r="D512" s="2" t="n"/>
      <c r="E512" s="2" t="n"/>
      <c r="F512" s="2" t="n"/>
    </row>
    <row r="513" ht="15.75" customHeight="1" s="38">
      <c r="A513" s="2" t="n"/>
      <c r="B513" s="2" t="n"/>
      <c r="C513" s="2" t="n"/>
      <c r="D513" s="2" t="n"/>
      <c r="E513" s="2" t="n"/>
      <c r="F513" s="2" t="n"/>
    </row>
    <row r="514" ht="15.75" customHeight="1" s="38">
      <c r="A514" s="2" t="n"/>
      <c r="B514" s="2" t="n"/>
      <c r="C514" s="2" t="n"/>
      <c r="D514" s="2" t="n"/>
      <c r="E514" s="2" t="n"/>
      <c r="F514" s="2" t="n"/>
    </row>
    <row r="515" ht="15.75" customHeight="1" s="38">
      <c r="A515" s="2" t="n"/>
      <c r="B515" s="2" t="n"/>
      <c r="C515" s="2" t="n"/>
      <c r="D515" s="2" t="n"/>
      <c r="E515" s="2" t="n"/>
      <c r="F515" s="2" t="n"/>
    </row>
    <row r="516" ht="15.75" customHeight="1" s="38">
      <c r="A516" s="2" t="n"/>
      <c r="B516" s="2" t="n"/>
      <c r="C516" s="2" t="n"/>
      <c r="D516" s="2" t="n"/>
      <c r="E516" s="2" t="n"/>
      <c r="F516" s="2" t="n"/>
    </row>
    <row r="517" ht="15.75" customHeight="1" s="38">
      <c r="A517" s="2" t="n"/>
      <c r="B517" s="2" t="n"/>
      <c r="C517" s="2" t="n"/>
      <c r="D517" s="2" t="n"/>
      <c r="E517" s="2" t="n"/>
      <c r="F517" s="2" t="n"/>
    </row>
    <row r="518" ht="15.75" customHeight="1" s="38">
      <c r="A518" s="2" t="n"/>
      <c r="B518" s="2" t="n"/>
      <c r="C518" s="2" t="n"/>
      <c r="D518" s="2" t="n"/>
      <c r="E518" s="2" t="n"/>
      <c r="F518" s="2" t="n"/>
    </row>
    <row r="519" ht="15.75" customHeight="1" s="38">
      <c r="A519" s="2" t="n"/>
      <c r="B519" s="2" t="n"/>
      <c r="C519" s="2" t="n"/>
      <c r="D519" s="2" t="n"/>
      <c r="E519" s="2" t="n"/>
      <c r="F519" s="2" t="n"/>
    </row>
    <row r="520" ht="15.75" customHeight="1" s="38">
      <c r="A520" s="2" t="n"/>
      <c r="B520" s="2" t="n"/>
      <c r="C520" s="2" t="n"/>
      <c r="D520" s="2" t="n"/>
      <c r="E520" s="2" t="n"/>
      <c r="F520" s="2" t="n"/>
    </row>
    <row r="521" ht="15.75" customHeight="1" s="38">
      <c r="A521" s="2" t="n"/>
      <c r="B521" s="2" t="n"/>
      <c r="C521" s="2" t="n"/>
      <c r="D521" s="2" t="n"/>
      <c r="E521" s="2" t="n"/>
      <c r="F521" s="2" t="n"/>
    </row>
    <row r="522" ht="15.75" customHeight="1" s="38">
      <c r="A522" s="2" t="n"/>
      <c r="B522" s="2" t="n"/>
      <c r="C522" s="2" t="n"/>
      <c r="D522" s="2" t="n"/>
      <c r="E522" s="2" t="n"/>
      <c r="F522" s="2" t="n"/>
    </row>
    <row r="523" ht="15.75" customHeight="1" s="38">
      <c r="A523" s="2" t="n"/>
      <c r="B523" s="2" t="n"/>
      <c r="C523" s="2" t="n"/>
      <c r="D523" s="2" t="n"/>
      <c r="E523" s="2" t="n"/>
      <c r="F523" s="2" t="n"/>
    </row>
    <row r="524" ht="15.75" customHeight="1" s="38">
      <c r="A524" s="2" t="n"/>
      <c r="B524" s="2" t="n"/>
      <c r="C524" s="2" t="n"/>
      <c r="D524" s="2" t="n"/>
      <c r="E524" s="2" t="n"/>
      <c r="F524" s="2" t="n"/>
    </row>
    <row r="525" ht="15.75" customHeight="1" s="38">
      <c r="A525" s="2" t="n"/>
      <c r="B525" s="2" t="n"/>
      <c r="C525" s="2" t="n"/>
      <c r="D525" s="2" t="n"/>
      <c r="E525" s="2" t="n"/>
      <c r="F525" s="2" t="n"/>
    </row>
    <row r="526" ht="15.75" customHeight="1" s="38">
      <c r="A526" s="2" t="n"/>
      <c r="B526" s="2" t="n"/>
      <c r="C526" s="2" t="n"/>
      <c r="D526" s="2" t="n"/>
      <c r="E526" s="2" t="n"/>
      <c r="F526" s="2" t="n"/>
    </row>
    <row r="527" ht="15.75" customHeight="1" s="38">
      <c r="A527" s="2" t="n"/>
      <c r="B527" s="2" t="n"/>
      <c r="C527" s="2" t="n"/>
      <c r="D527" s="2" t="n"/>
      <c r="E527" s="2" t="n"/>
      <c r="F527" s="2" t="n"/>
    </row>
    <row r="528" ht="15.75" customHeight="1" s="38">
      <c r="A528" s="2" t="n"/>
      <c r="B528" s="2" t="n"/>
      <c r="C528" s="2" t="n"/>
      <c r="D528" s="2" t="n"/>
      <c r="E528" s="2" t="n"/>
      <c r="F528" s="2" t="n"/>
    </row>
    <row r="529" ht="15.75" customHeight="1" s="38">
      <c r="A529" s="2" t="n"/>
      <c r="B529" s="2" t="n"/>
      <c r="C529" s="2" t="n"/>
      <c r="D529" s="2" t="n"/>
      <c r="E529" s="2" t="n"/>
      <c r="F529" s="2" t="n"/>
    </row>
    <row r="530" ht="15.75" customHeight="1" s="38">
      <c r="A530" s="2" t="n"/>
      <c r="B530" s="2" t="n"/>
      <c r="C530" s="2" t="n"/>
      <c r="D530" s="2" t="n"/>
      <c r="E530" s="2" t="n"/>
      <c r="F530" s="2" t="n"/>
    </row>
    <row r="531" ht="15.75" customHeight="1" s="38">
      <c r="A531" s="2" t="n"/>
      <c r="B531" s="2" t="n"/>
      <c r="C531" s="2" t="n"/>
      <c r="D531" s="2" t="n"/>
      <c r="E531" s="2" t="n"/>
      <c r="F531" s="2" t="n"/>
    </row>
    <row r="532" ht="15.75" customHeight="1" s="38">
      <c r="A532" s="2" t="n"/>
      <c r="B532" s="2" t="n"/>
      <c r="C532" s="2" t="n"/>
      <c r="D532" s="2" t="n"/>
      <c r="E532" s="2" t="n"/>
      <c r="F532" s="2" t="n"/>
    </row>
    <row r="533" ht="15.75" customHeight="1" s="38">
      <c r="A533" s="2" t="n"/>
      <c r="B533" s="2" t="n"/>
      <c r="C533" s="2" t="n"/>
      <c r="D533" s="2" t="n"/>
      <c r="E533" s="2" t="n"/>
      <c r="F533" s="2" t="n"/>
    </row>
    <row r="534" ht="15.75" customHeight="1" s="38">
      <c r="A534" s="2" t="n"/>
      <c r="B534" s="2" t="n"/>
      <c r="C534" s="2" t="n"/>
      <c r="D534" s="2" t="n"/>
      <c r="E534" s="2" t="n"/>
      <c r="F534" s="2" t="n"/>
    </row>
    <row r="535" ht="15.75" customHeight="1" s="38">
      <c r="A535" s="2" t="n"/>
      <c r="B535" s="2" t="n"/>
      <c r="C535" s="2" t="n"/>
      <c r="D535" s="2" t="n"/>
      <c r="E535" s="2" t="n"/>
      <c r="F535" s="2" t="n"/>
    </row>
    <row r="536" ht="15.75" customHeight="1" s="38">
      <c r="A536" s="2" t="n"/>
      <c r="B536" s="2" t="n"/>
      <c r="C536" s="2" t="n"/>
      <c r="D536" s="2" t="n"/>
      <c r="E536" s="2" t="n"/>
      <c r="F536" s="2" t="n"/>
    </row>
    <row r="537" ht="15.75" customHeight="1" s="38">
      <c r="A537" s="2" t="n"/>
      <c r="B537" s="2" t="n"/>
      <c r="C537" s="2" t="n"/>
      <c r="D537" s="2" t="n"/>
      <c r="E537" s="2" t="n"/>
      <c r="F537" s="2" t="n"/>
    </row>
    <row r="538" ht="15.75" customHeight="1" s="38">
      <c r="A538" s="2" t="n"/>
      <c r="B538" s="2" t="n"/>
      <c r="C538" s="2" t="n"/>
      <c r="D538" s="2" t="n"/>
      <c r="E538" s="2" t="n"/>
      <c r="F538" s="2" t="n"/>
    </row>
    <row r="539" ht="15.75" customHeight="1" s="38">
      <c r="A539" s="2" t="n"/>
      <c r="B539" s="2" t="n"/>
      <c r="C539" s="2" t="n"/>
      <c r="D539" s="2" t="n"/>
      <c r="E539" s="2" t="n"/>
      <c r="F539" s="2" t="n"/>
    </row>
    <row r="540" ht="15.75" customHeight="1" s="38">
      <c r="A540" s="2" t="n"/>
      <c r="B540" s="2" t="n"/>
      <c r="C540" s="2" t="n"/>
      <c r="D540" s="2" t="n"/>
      <c r="E540" s="2" t="n"/>
      <c r="F540" s="2" t="n"/>
    </row>
    <row r="541" ht="15.75" customHeight="1" s="38">
      <c r="A541" s="2" t="n"/>
      <c r="B541" s="2" t="n"/>
      <c r="C541" s="2" t="n"/>
      <c r="D541" s="2" t="n"/>
      <c r="E541" s="2" t="n"/>
      <c r="F541" s="2" t="n"/>
    </row>
    <row r="542" ht="15.75" customHeight="1" s="38">
      <c r="A542" s="2" t="n"/>
      <c r="B542" s="2" t="n"/>
      <c r="C542" s="2" t="n"/>
      <c r="D542" s="2" t="n"/>
      <c r="E542" s="2" t="n"/>
      <c r="F542" s="2" t="n"/>
    </row>
    <row r="543" ht="15.75" customHeight="1" s="38">
      <c r="A543" s="2" t="n"/>
      <c r="B543" s="2" t="n"/>
      <c r="C543" s="2" t="n"/>
      <c r="D543" s="2" t="n"/>
      <c r="E543" s="2" t="n"/>
      <c r="F543" s="2" t="n"/>
    </row>
    <row r="544" ht="15.75" customHeight="1" s="38">
      <c r="A544" s="2" t="n"/>
      <c r="B544" s="2" t="n"/>
      <c r="C544" s="2" t="n"/>
      <c r="D544" s="2" t="n"/>
      <c r="E544" s="2" t="n"/>
      <c r="F544" s="2" t="n"/>
    </row>
    <row r="545" ht="15.75" customHeight="1" s="38">
      <c r="A545" s="2" t="n"/>
      <c r="B545" s="2" t="n"/>
      <c r="C545" s="2" t="n"/>
      <c r="D545" s="2" t="n"/>
      <c r="E545" s="2" t="n"/>
      <c r="F545" s="2" t="n"/>
    </row>
    <row r="546" ht="15.75" customHeight="1" s="38">
      <c r="A546" s="2" t="n"/>
      <c r="B546" s="2" t="n"/>
      <c r="C546" s="2" t="n"/>
      <c r="D546" s="2" t="n"/>
      <c r="E546" s="2" t="n"/>
      <c r="F546" s="2" t="n"/>
    </row>
    <row r="547" ht="15.75" customHeight="1" s="38">
      <c r="A547" s="2" t="n"/>
      <c r="B547" s="2" t="n"/>
      <c r="C547" s="2" t="n"/>
      <c r="D547" s="2" t="n"/>
      <c r="E547" s="2" t="n"/>
      <c r="F547" s="2" t="n"/>
    </row>
    <row r="548" ht="15.75" customHeight="1" s="38">
      <c r="A548" s="2" t="n"/>
      <c r="B548" s="2" t="n"/>
      <c r="C548" s="2" t="n"/>
      <c r="D548" s="2" t="n"/>
      <c r="E548" s="2" t="n"/>
      <c r="F548" s="2" t="n"/>
    </row>
    <row r="549" ht="15.75" customHeight="1" s="38">
      <c r="A549" s="2" t="n"/>
      <c r="B549" s="2" t="n"/>
      <c r="C549" s="2" t="n"/>
      <c r="D549" s="2" t="n"/>
      <c r="E549" s="2" t="n"/>
      <c r="F549" s="2" t="n"/>
    </row>
    <row r="550" ht="15.75" customHeight="1" s="38">
      <c r="A550" s="2" t="n"/>
      <c r="B550" s="2" t="n"/>
      <c r="C550" s="2" t="n"/>
      <c r="D550" s="2" t="n"/>
      <c r="E550" s="2" t="n"/>
      <c r="F550" s="2" t="n"/>
    </row>
    <row r="551" ht="15.75" customHeight="1" s="38">
      <c r="A551" s="2" t="n"/>
      <c r="B551" s="2" t="n"/>
      <c r="C551" s="2" t="n"/>
      <c r="D551" s="2" t="n"/>
      <c r="E551" s="2" t="n"/>
      <c r="F551" s="2" t="n"/>
    </row>
    <row r="552" ht="15.75" customHeight="1" s="38">
      <c r="A552" s="2" t="n"/>
      <c r="B552" s="2" t="n"/>
      <c r="C552" s="2" t="n"/>
      <c r="D552" s="2" t="n"/>
      <c r="E552" s="2" t="n"/>
      <c r="F552" s="2" t="n"/>
    </row>
    <row r="553" ht="15.75" customHeight="1" s="38">
      <c r="A553" s="2" t="n"/>
      <c r="B553" s="2" t="n"/>
      <c r="C553" s="2" t="n"/>
      <c r="D553" s="2" t="n"/>
      <c r="E553" s="2" t="n"/>
      <c r="F553" s="2" t="n"/>
    </row>
    <row r="554" ht="15.75" customHeight="1" s="38">
      <c r="A554" s="2" t="n"/>
      <c r="B554" s="2" t="n"/>
      <c r="C554" s="2" t="n"/>
      <c r="D554" s="2" t="n"/>
      <c r="E554" s="2" t="n"/>
      <c r="F554" s="2" t="n"/>
    </row>
    <row r="555" ht="15.75" customHeight="1" s="38">
      <c r="A555" s="2" t="n"/>
      <c r="B555" s="2" t="n"/>
      <c r="C555" s="2" t="n"/>
      <c r="D555" s="2" t="n"/>
      <c r="E555" s="2" t="n"/>
      <c r="F555" s="2" t="n"/>
    </row>
    <row r="556" ht="15.75" customHeight="1" s="38">
      <c r="A556" s="2" t="n"/>
      <c r="B556" s="2" t="n"/>
      <c r="C556" s="2" t="n"/>
      <c r="D556" s="2" t="n"/>
      <c r="E556" s="2" t="n"/>
      <c r="F556" s="2" t="n"/>
    </row>
    <row r="557" ht="15.75" customHeight="1" s="38">
      <c r="A557" s="2" t="n"/>
      <c r="B557" s="2" t="n"/>
      <c r="C557" s="2" t="n"/>
      <c r="D557" s="2" t="n"/>
      <c r="E557" s="2" t="n"/>
      <c r="F557" s="2" t="n"/>
    </row>
    <row r="558" ht="15.75" customHeight="1" s="38">
      <c r="A558" s="2" t="n"/>
      <c r="B558" s="2" t="n"/>
      <c r="C558" s="2" t="n"/>
      <c r="D558" s="2" t="n"/>
      <c r="E558" s="2" t="n"/>
      <c r="F558" s="2" t="n"/>
    </row>
    <row r="559" ht="15.75" customHeight="1" s="38">
      <c r="A559" s="2" t="n"/>
      <c r="B559" s="2" t="n"/>
      <c r="C559" s="2" t="n"/>
      <c r="D559" s="2" t="n"/>
      <c r="E559" s="2" t="n"/>
      <c r="F559" s="2" t="n"/>
    </row>
    <row r="560" ht="15.75" customHeight="1" s="38">
      <c r="A560" s="2" t="n"/>
      <c r="B560" s="2" t="n"/>
      <c r="C560" s="2" t="n"/>
      <c r="D560" s="2" t="n"/>
      <c r="E560" s="2" t="n"/>
      <c r="F560" s="2" t="n"/>
    </row>
    <row r="561" ht="15.75" customHeight="1" s="38">
      <c r="A561" s="2" t="n"/>
      <c r="B561" s="2" t="n"/>
      <c r="C561" s="2" t="n"/>
      <c r="D561" s="2" t="n"/>
      <c r="E561" s="2" t="n"/>
      <c r="F561" s="2" t="n"/>
    </row>
    <row r="562" ht="15.75" customHeight="1" s="38">
      <c r="A562" s="2" t="n"/>
      <c r="B562" s="2" t="n"/>
      <c r="C562" s="2" t="n"/>
      <c r="D562" s="2" t="n"/>
      <c r="E562" s="2" t="n"/>
      <c r="F562" s="2" t="n"/>
    </row>
    <row r="563" ht="15.75" customHeight="1" s="38">
      <c r="A563" s="2" t="n"/>
      <c r="B563" s="2" t="n"/>
      <c r="C563" s="2" t="n"/>
      <c r="D563" s="2" t="n"/>
      <c r="E563" s="2" t="n"/>
      <c r="F563" s="2" t="n"/>
    </row>
    <row r="564" ht="15.75" customHeight="1" s="38">
      <c r="A564" s="2" t="n"/>
      <c r="B564" s="2" t="n"/>
      <c r="C564" s="2" t="n"/>
      <c r="D564" s="2" t="n"/>
      <c r="E564" s="2" t="n"/>
      <c r="F564" s="2" t="n"/>
    </row>
    <row r="565" ht="15.75" customHeight="1" s="38">
      <c r="A565" s="2" t="n"/>
      <c r="B565" s="2" t="n"/>
      <c r="C565" s="2" t="n"/>
      <c r="D565" s="2" t="n"/>
      <c r="E565" s="2" t="n"/>
      <c r="F565" s="2" t="n"/>
    </row>
    <row r="566" ht="15.75" customHeight="1" s="38">
      <c r="A566" s="2" t="n"/>
      <c r="B566" s="2" t="n"/>
      <c r="C566" s="2" t="n"/>
      <c r="D566" s="2" t="n"/>
      <c r="E566" s="2" t="n"/>
      <c r="F566" s="2" t="n"/>
    </row>
    <row r="567" ht="15.75" customHeight="1" s="38">
      <c r="A567" s="2" t="n"/>
      <c r="B567" s="2" t="n"/>
      <c r="C567" s="2" t="n"/>
      <c r="D567" s="2" t="n"/>
      <c r="E567" s="2" t="n"/>
      <c r="F567" s="2" t="n"/>
    </row>
    <row r="568" ht="15.75" customHeight="1" s="38">
      <c r="A568" s="2" t="n"/>
      <c r="B568" s="2" t="n"/>
      <c r="C568" s="2" t="n"/>
      <c r="D568" s="2" t="n"/>
      <c r="E568" s="2" t="n"/>
      <c r="F568" s="2" t="n"/>
    </row>
    <row r="569" ht="15.75" customHeight="1" s="38">
      <c r="A569" s="2" t="n"/>
      <c r="B569" s="2" t="n"/>
      <c r="C569" s="2" t="n"/>
      <c r="D569" s="2" t="n"/>
      <c r="E569" s="2" t="n"/>
      <c r="F569" s="2" t="n"/>
    </row>
    <row r="570" ht="15.75" customHeight="1" s="38">
      <c r="A570" s="2" t="n"/>
      <c r="B570" s="2" t="n"/>
      <c r="C570" s="2" t="n"/>
      <c r="D570" s="2" t="n"/>
      <c r="E570" s="2" t="n"/>
      <c r="F570" s="2" t="n"/>
    </row>
    <row r="571" ht="15.75" customHeight="1" s="38">
      <c r="A571" s="2" t="n"/>
      <c r="B571" s="2" t="n"/>
      <c r="C571" s="2" t="n"/>
      <c r="D571" s="2" t="n"/>
      <c r="E571" s="2" t="n"/>
      <c r="F571" s="2" t="n"/>
    </row>
    <row r="572" ht="15.75" customHeight="1" s="38">
      <c r="A572" s="2" t="n"/>
      <c r="B572" s="2" t="n"/>
      <c r="C572" s="2" t="n"/>
      <c r="D572" s="2" t="n"/>
      <c r="E572" s="2" t="n"/>
      <c r="F572" s="2" t="n"/>
    </row>
    <row r="573" ht="15.75" customHeight="1" s="38">
      <c r="A573" s="2" t="n"/>
      <c r="B573" s="2" t="n"/>
      <c r="C573" s="2" t="n"/>
      <c r="D573" s="2" t="n"/>
      <c r="E573" s="2" t="n"/>
      <c r="F573" s="2" t="n"/>
    </row>
    <row r="574" ht="15.75" customHeight="1" s="38">
      <c r="A574" s="2" t="n"/>
      <c r="B574" s="2" t="n"/>
      <c r="C574" s="2" t="n"/>
      <c r="D574" s="2" t="n"/>
      <c r="E574" s="2" t="n"/>
      <c r="F574" s="2" t="n"/>
    </row>
    <row r="575" ht="15.75" customHeight="1" s="38">
      <c r="A575" s="2" t="n"/>
      <c r="B575" s="2" t="n"/>
      <c r="C575" s="2" t="n"/>
      <c r="D575" s="2" t="n"/>
      <c r="E575" s="2" t="n"/>
      <c r="F575" s="2" t="n"/>
    </row>
    <row r="576" ht="15.75" customHeight="1" s="38">
      <c r="A576" s="2" t="n"/>
      <c r="B576" s="2" t="n"/>
      <c r="C576" s="2" t="n"/>
      <c r="D576" s="2" t="n"/>
      <c r="E576" s="2" t="n"/>
      <c r="F576" s="2" t="n"/>
    </row>
    <row r="577" ht="15.75" customHeight="1" s="38">
      <c r="A577" s="2" t="n"/>
      <c r="B577" s="2" t="n"/>
      <c r="C577" s="2" t="n"/>
      <c r="D577" s="2" t="n"/>
      <c r="E577" s="2" t="n"/>
      <c r="F577" s="2" t="n"/>
    </row>
    <row r="578" ht="15.75" customHeight="1" s="38">
      <c r="A578" s="2" t="n"/>
      <c r="B578" s="2" t="n"/>
      <c r="C578" s="2" t="n"/>
      <c r="D578" s="2" t="n"/>
      <c r="E578" s="2" t="n"/>
      <c r="F578" s="2" t="n"/>
    </row>
    <row r="579" ht="15.75" customHeight="1" s="38">
      <c r="A579" s="2" t="n"/>
      <c r="B579" s="2" t="n"/>
      <c r="C579" s="2" t="n"/>
      <c r="D579" s="2" t="n"/>
      <c r="E579" s="2" t="n"/>
      <c r="F579" s="2" t="n"/>
    </row>
    <row r="580" ht="15.75" customHeight="1" s="38">
      <c r="A580" s="2" t="n"/>
      <c r="B580" s="2" t="n"/>
      <c r="C580" s="2" t="n"/>
      <c r="D580" s="2" t="n"/>
      <c r="E580" s="2" t="n"/>
      <c r="F580" s="2" t="n"/>
    </row>
    <row r="581" ht="15.75" customHeight="1" s="38">
      <c r="A581" s="2" t="n"/>
      <c r="B581" s="2" t="n"/>
      <c r="C581" s="2" t="n"/>
      <c r="D581" s="2" t="n"/>
      <c r="E581" s="2" t="n"/>
      <c r="F581" s="2" t="n"/>
    </row>
    <row r="582" ht="15.75" customHeight="1" s="38">
      <c r="A582" s="2" t="n"/>
      <c r="B582" s="2" t="n"/>
      <c r="C582" s="2" t="n"/>
      <c r="D582" s="2" t="n"/>
      <c r="E582" s="2" t="n"/>
      <c r="F582" s="2" t="n"/>
    </row>
    <row r="583" ht="15.75" customHeight="1" s="38">
      <c r="A583" s="2" t="n"/>
      <c r="B583" s="2" t="n"/>
      <c r="C583" s="2" t="n"/>
      <c r="D583" s="2" t="n"/>
      <c r="E583" s="2" t="n"/>
      <c r="F583" s="2" t="n"/>
    </row>
    <row r="584" ht="15.75" customHeight="1" s="38">
      <c r="A584" s="2" t="n"/>
      <c r="B584" s="2" t="n"/>
      <c r="C584" s="2" t="n"/>
      <c r="D584" s="2" t="n"/>
      <c r="E584" s="2" t="n"/>
      <c r="F584" s="2" t="n"/>
    </row>
    <row r="585" ht="15.75" customHeight="1" s="38">
      <c r="A585" s="2" t="n"/>
      <c r="B585" s="2" t="n"/>
      <c r="C585" s="2" t="n"/>
      <c r="D585" s="2" t="n"/>
      <c r="E585" s="2" t="n"/>
      <c r="F585" s="2" t="n"/>
    </row>
    <row r="586" ht="15.75" customHeight="1" s="38">
      <c r="A586" s="2" t="n"/>
      <c r="B586" s="2" t="n"/>
      <c r="C586" s="2" t="n"/>
      <c r="D586" s="2" t="n"/>
      <c r="E586" s="2" t="n"/>
      <c r="F586" s="2" t="n"/>
    </row>
    <row r="587" ht="15.75" customHeight="1" s="38">
      <c r="A587" s="2" t="n"/>
      <c r="B587" s="2" t="n"/>
      <c r="C587" s="2" t="n"/>
      <c r="D587" s="2" t="n"/>
      <c r="E587" s="2" t="n"/>
      <c r="F587" s="2" t="n"/>
    </row>
    <row r="588" ht="15.75" customHeight="1" s="38">
      <c r="A588" s="2" t="n"/>
      <c r="B588" s="2" t="n"/>
      <c r="C588" s="2" t="n"/>
      <c r="D588" s="2" t="n"/>
      <c r="E588" s="2" t="n"/>
      <c r="F588" s="2" t="n"/>
    </row>
    <row r="589" ht="15.75" customHeight="1" s="38">
      <c r="A589" s="2" t="n"/>
      <c r="B589" s="2" t="n"/>
      <c r="C589" s="2" t="n"/>
      <c r="D589" s="2" t="n"/>
      <c r="E589" s="2" t="n"/>
      <c r="F589" s="2" t="n"/>
    </row>
    <row r="590" ht="15.75" customHeight="1" s="38">
      <c r="A590" s="2" t="n"/>
      <c r="B590" s="2" t="n"/>
      <c r="C590" s="2" t="n"/>
      <c r="D590" s="2" t="n"/>
      <c r="E590" s="2" t="n"/>
      <c r="F590" s="2" t="n"/>
    </row>
    <row r="591" ht="15.75" customHeight="1" s="38">
      <c r="A591" s="2" t="n"/>
      <c r="B591" s="2" t="n"/>
      <c r="C591" s="2" t="n"/>
      <c r="D591" s="2" t="n"/>
      <c r="E591" s="2" t="n"/>
      <c r="F591" s="2" t="n"/>
    </row>
    <row r="592" ht="15.75" customHeight="1" s="38">
      <c r="A592" s="2" t="n"/>
      <c r="B592" s="2" t="n"/>
      <c r="C592" s="2" t="n"/>
      <c r="D592" s="2" t="n"/>
      <c r="E592" s="2" t="n"/>
      <c r="F592" s="2" t="n"/>
    </row>
    <row r="593" ht="15.75" customHeight="1" s="38">
      <c r="A593" s="2" t="n"/>
      <c r="B593" s="2" t="n"/>
      <c r="C593" s="2" t="n"/>
      <c r="D593" s="2" t="n"/>
      <c r="E593" s="2" t="n"/>
      <c r="F593" s="2" t="n"/>
    </row>
    <row r="594" ht="15.75" customHeight="1" s="38">
      <c r="A594" s="2" t="n"/>
      <c r="B594" s="2" t="n"/>
      <c r="C594" s="2" t="n"/>
      <c r="D594" s="2" t="n"/>
      <c r="E594" s="2" t="n"/>
      <c r="F594" s="2" t="n"/>
    </row>
    <row r="595" ht="15.75" customHeight="1" s="38">
      <c r="A595" s="2" t="n"/>
      <c r="B595" s="2" t="n"/>
      <c r="C595" s="2" t="n"/>
      <c r="D595" s="2" t="n"/>
      <c r="E595" s="2" t="n"/>
      <c r="F595" s="2" t="n"/>
    </row>
    <row r="596" ht="15.75" customHeight="1" s="38">
      <c r="A596" s="2" t="n"/>
      <c r="B596" s="2" t="n"/>
      <c r="C596" s="2" t="n"/>
      <c r="D596" s="2" t="n"/>
      <c r="E596" s="2" t="n"/>
      <c r="F596" s="2" t="n"/>
    </row>
    <row r="597" ht="15.75" customHeight="1" s="38">
      <c r="A597" s="2" t="n"/>
      <c r="B597" s="2" t="n"/>
      <c r="C597" s="2" t="n"/>
      <c r="D597" s="2" t="n"/>
      <c r="E597" s="2" t="n"/>
      <c r="F597" s="2" t="n"/>
    </row>
    <row r="598" ht="15.75" customHeight="1" s="38">
      <c r="A598" s="2" t="n"/>
      <c r="B598" s="2" t="n"/>
      <c r="C598" s="2" t="n"/>
      <c r="D598" s="2" t="n"/>
      <c r="E598" s="2" t="n"/>
      <c r="F598" s="2" t="n"/>
    </row>
    <row r="599" ht="15.75" customHeight="1" s="38">
      <c r="A599" s="2" t="n"/>
      <c r="B599" s="2" t="n"/>
      <c r="C599" s="2" t="n"/>
      <c r="D599" s="2" t="n"/>
      <c r="E599" s="2" t="n"/>
      <c r="F599" s="2" t="n"/>
    </row>
    <row r="600" ht="15.75" customHeight="1" s="38">
      <c r="A600" s="2" t="n"/>
      <c r="B600" s="2" t="n"/>
      <c r="C600" s="2" t="n"/>
      <c r="D600" s="2" t="n"/>
      <c r="E600" s="2" t="n"/>
      <c r="F600" s="2" t="n"/>
    </row>
    <row r="601" ht="15.75" customHeight="1" s="38">
      <c r="A601" s="2" t="n"/>
      <c r="B601" s="2" t="n"/>
      <c r="C601" s="2" t="n"/>
      <c r="D601" s="2" t="n"/>
      <c r="E601" s="2" t="n"/>
      <c r="F601" s="2" t="n"/>
    </row>
    <row r="602" ht="15.75" customHeight="1" s="38">
      <c r="A602" s="2" t="n"/>
      <c r="B602" s="2" t="n"/>
      <c r="C602" s="2" t="n"/>
      <c r="D602" s="2" t="n"/>
      <c r="E602" s="2" t="n"/>
      <c r="F602" s="2" t="n"/>
    </row>
    <row r="603" ht="15.75" customHeight="1" s="38">
      <c r="A603" s="2" t="n"/>
      <c r="B603" s="2" t="n"/>
      <c r="C603" s="2" t="n"/>
      <c r="D603" s="2" t="n"/>
      <c r="E603" s="2" t="n"/>
      <c r="F603" s="2" t="n"/>
    </row>
    <row r="604" ht="15.75" customHeight="1" s="38">
      <c r="A604" s="2" t="n"/>
      <c r="B604" s="2" t="n"/>
      <c r="C604" s="2" t="n"/>
      <c r="D604" s="2" t="n"/>
      <c r="E604" s="2" t="n"/>
      <c r="F604" s="2" t="n"/>
    </row>
    <row r="605" ht="15.75" customHeight="1" s="38">
      <c r="A605" s="2" t="n"/>
      <c r="B605" s="2" t="n"/>
      <c r="C605" s="2" t="n"/>
      <c r="D605" s="2" t="n"/>
      <c r="E605" s="2" t="n"/>
      <c r="F605" s="2" t="n"/>
    </row>
    <row r="606" ht="15.75" customHeight="1" s="38">
      <c r="A606" s="2" t="n"/>
      <c r="B606" s="2" t="n"/>
      <c r="C606" s="2" t="n"/>
      <c r="D606" s="2" t="n"/>
      <c r="E606" s="2" t="n"/>
      <c r="F606" s="2" t="n"/>
    </row>
    <row r="607" ht="15.75" customHeight="1" s="38">
      <c r="A607" s="2" t="n"/>
      <c r="B607" s="2" t="n"/>
      <c r="C607" s="2" t="n"/>
      <c r="D607" s="2" t="n"/>
      <c r="E607" s="2" t="n"/>
      <c r="F607" s="2" t="n"/>
    </row>
    <row r="608" ht="15.75" customHeight="1" s="38">
      <c r="A608" s="2" t="n"/>
      <c r="B608" s="2" t="n"/>
      <c r="C608" s="2" t="n"/>
      <c r="D608" s="2" t="n"/>
      <c r="E608" s="2" t="n"/>
      <c r="F608" s="2" t="n"/>
    </row>
    <row r="609" ht="15.75" customHeight="1" s="38">
      <c r="A609" s="2" t="n"/>
      <c r="B609" s="2" t="n"/>
      <c r="C609" s="2" t="n"/>
      <c r="D609" s="2" t="n"/>
      <c r="E609" s="2" t="n"/>
      <c r="F609" s="2" t="n"/>
    </row>
    <row r="610" ht="15.75" customHeight="1" s="38">
      <c r="A610" s="2" t="n"/>
      <c r="B610" s="2" t="n"/>
      <c r="C610" s="2" t="n"/>
      <c r="D610" s="2" t="n"/>
      <c r="E610" s="2" t="n"/>
      <c r="F610" s="2" t="n"/>
    </row>
    <row r="611" ht="15.75" customHeight="1" s="38">
      <c r="A611" s="2" t="n"/>
      <c r="B611" s="2" t="n"/>
      <c r="C611" s="2" t="n"/>
      <c r="D611" s="2" t="n"/>
      <c r="E611" s="2" t="n"/>
      <c r="F611" s="2" t="n"/>
    </row>
    <row r="612" ht="15.75" customHeight="1" s="38">
      <c r="A612" s="2" t="n"/>
      <c r="B612" s="2" t="n"/>
      <c r="C612" s="2" t="n"/>
      <c r="D612" s="2" t="n"/>
      <c r="E612" s="2" t="n"/>
      <c r="F612" s="2" t="n"/>
    </row>
    <row r="613" ht="15.75" customHeight="1" s="38">
      <c r="A613" s="2" t="n"/>
      <c r="B613" s="2" t="n"/>
      <c r="C613" s="2" t="n"/>
      <c r="D613" s="2" t="n"/>
      <c r="E613" s="2" t="n"/>
      <c r="F613" s="2" t="n"/>
    </row>
    <row r="614" ht="15.75" customHeight="1" s="38">
      <c r="A614" s="2" t="n"/>
      <c r="B614" s="2" t="n"/>
      <c r="C614" s="2" t="n"/>
      <c r="D614" s="2" t="n"/>
      <c r="E614" s="2" t="n"/>
      <c r="F614" s="2" t="n"/>
    </row>
    <row r="615" ht="15.75" customHeight="1" s="38">
      <c r="A615" s="2" t="n"/>
      <c r="B615" s="2" t="n"/>
      <c r="C615" s="2" t="n"/>
      <c r="D615" s="2" t="n"/>
      <c r="E615" s="2" t="n"/>
      <c r="F615" s="2" t="n"/>
    </row>
    <row r="616" ht="15.75" customHeight="1" s="38">
      <c r="A616" s="2" t="n"/>
      <c r="B616" s="2" t="n"/>
      <c r="C616" s="2" t="n"/>
      <c r="D616" s="2" t="n"/>
      <c r="E616" s="2" t="n"/>
      <c r="F616" s="2" t="n"/>
    </row>
    <row r="617" ht="15.75" customHeight="1" s="38">
      <c r="A617" s="2" t="n"/>
      <c r="B617" s="2" t="n"/>
      <c r="C617" s="2" t="n"/>
      <c r="D617" s="2" t="n"/>
      <c r="E617" s="2" t="n"/>
      <c r="F617" s="2" t="n"/>
    </row>
    <row r="618" ht="15.75" customHeight="1" s="38">
      <c r="A618" s="2" t="n"/>
      <c r="B618" s="2" t="n"/>
      <c r="C618" s="2" t="n"/>
      <c r="D618" s="2" t="n"/>
      <c r="E618" s="2" t="n"/>
      <c r="F618" s="2" t="n"/>
    </row>
    <row r="619" ht="15.75" customHeight="1" s="38">
      <c r="A619" s="2" t="n"/>
      <c r="B619" s="2" t="n"/>
      <c r="C619" s="2" t="n"/>
      <c r="D619" s="2" t="n"/>
      <c r="E619" s="2" t="n"/>
      <c r="F619" s="2" t="n"/>
    </row>
    <row r="620" ht="15.75" customHeight="1" s="38">
      <c r="A620" s="2" t="n"/>
      <c r="B620" s="2" t="n"/>
      <c r="C620" s="2" t="n"/>
      <c r="D620" s="2" t="n"/>
      <c r="E620" s="2" t="n"/>
      <c r="F620" s="2" t="n"/>
    </row>
    <row r="621" ht="15.75" customHeight="1" s="38">
      <c r="A621" s="2" t="n"/>
      <c r="B621" s="2" t="n"/>
      <c r="C621" s="2" t="n"/>
      <c r="D621" s="2" t="n"/>
      <c r="E621" s="2" t="n"/>
      <c r="F621" s="2" t="n"/>
    </row>
    <row r="622" ht="15.75" customHeight="1" s="38">
      <c r="A622" s="2" t="n"/>
      <c r="B622" s="2" t="n"/>
      <c r="C622" s="2" t="n"/>
      <c r="D622" s="2" t="n"/>
      <c r="E622" s="2" t="n"/>
      <c r="F622" s="2" t="n"/>
    </row>
    <row r="623" ht="15.75" customHeight="1" s="38">
      <c r="A623" s="2" t="n"/>
      <c r="B623" s="2" t="n"/>
      <c r="C623" s="2" t="n"/>
      <c r="D623" s="2" t="n"/>
      <c r="E623" s="2" t="n"/>
      <c r="F623" s="2" t="n"/>
    </row>
    <row r="624" ht="15.75" customHeight="1" s="38">
      <c r="A624" s="2" t="n"/>
      <c r="B624" s="2" t="n"/>
      <c r="C624" s="2" t="n"/>
      <c r="D624" s="2" t="n"/>
      <c r="E624" s="2" t="n"/>
      <c r="F624" s="2" t="n"/>
    </row>
    <row r="625" ht="15.75" customHeight="1" s="38">
      <c r="A625" s="2" t="n"/>
      <c r="B625" s="2" t="n"/>
      <c r="C625" s="2" t="n"/>
      <c r="D625" s="2" t="n"/>
      <c r="E625" s="2" t="n"/>
      <c r="F625" s="2" t="n"/>
    </row>
    <row r="626" ht="15.75" customHeight="1" s="38">
      <c r="A626" s="2" t="n"/>
      <c r="B626" s="2" t="n"/>
      <c r="C626" s="2" t="n"/>
      <c r="D626" s="2" t="n"/>
      <c r="E626" s="2" t="n"/>
      <c r="F626" s="2" t="n"/>
    </row>
    <row r="627" ht="15.75" customHeight="1" s="38">
      <c r="A627" s="2" t="n"/>
      <c r="B627" s="2" t="n"/>
      <c r="C627" s="2" t="n"/>
      <c r="D627" s="2" t="n"/>
      <c r="E627" s="2" t="n"/>
      <c r="F627" s="2" t="n"/>
    </row>
    <row r="628" ht="15.75" customHeight="1" s="38">
      <c r="A628" s="2" t="n"/>
      <c r="B628" s="2" t="n"/>
      <c r="C628" s="2" t="n"/>
      <c r="D628" s="2" t="n"/>
      <c r="E628" s="2" t="n"/>
      <c r="F628" s="2" t="n"/>
    </row>
    <row r="629" ht="15.75" customHeight="1" s="38">
      <c r="A629" s="2" t="n"/>
      <c r="B629" s="2" t="n"/>
      <c r="C629" s="2" t="n"/>
      <c r="D629" s="2" t="n"/>
      <c r="E629" s="2" t="n"/>
      <c r="F629" s="2" t="n"/>
    </row>
    <row r="630" ht="15.75" customHeight="1" s="38">
      <c r="A630" s="2" t="n"/>
      <c r="B630" s="2" t="n"/>
      <c r="C630" s="2" t="n"/>
      <c r="D630" s="2" t="n"/>
      <c r="E630" s="2" t="n"/>
      <c r="F630" s="2" t="n"/>
    </row>
    <row r="631" ht="15.75" customHeight="1" s="38">
      <c r="A631" s="2" t="n"/>
      <c r="B631" s="2" t="n"/>
      <c r="C631" s="2" t="n"/>
      <c r="D631" s="2" t="n"/>
      <c r="E631" s="2" t="n"/>
      <c r="F631" s="2" t="n"/>
    </row>
    <row r="632" ht="15.75" customHeight="1" s="38">
      <c r="A632" s="2" t="n"/>
      <c r="B632" s="2" t="n"/>
      <c r="C632" s="2" t="n"/>
      <c r="D632" s="2" t="n"/>
      <c r="E632" s="2" t="n"/>
      <c r="F632" s="2" t="n"/>
    </row>
    <row r="633" ht="15.75" customHeight="1" s="38">
      <c r="A633" s="2" t="n"/>
      <c r="B633" s="2" t="n"/>
      <c r="C633" s="2" t="n"/>
      <c r="D633" s="2" t="n"/>
      <c r="E633" s="2" t="n"/>
      <c r="F633" s="2" t="n"/>
    </row>
    <row r="634" ht="15.75" customHeight="1" s="38">
      <c r="A634" s="2" t="n"/>
      <c r="B634" s="2" t="n"/>
      <c r="C634" s="2" t="n"/>
      <c r="D634" s="2" t="n"/>
      <c r="E634" s="2" t="n"/>
      <c r="F634" s="2" t="n"/>
    </row>
    <row r="635" ht="15.75" customHeight="1" s="38">
      <c r="A635" s="2" t="n"/>
      <c r="B635" s="2" t="n"/>
      <c r="C635" s="2" t="n"/>
      <c r="D635" s="2" t="n"/>
      <c r="E635" s="2" t="n"/>
      <c r="F635" s="2" t="n"/>
    </row>
    <row r="636" ht="15.75" customHeight="1" s="38">
      <c r="A636" s="2" t="n"/>
      <c r="B636" s="2" t="n"/>
      <c r="C636" s="2" t="n"/>
      <c r="D636" s="2" t="n"/>
      <c r="E636" s="2" t="n"/>
      <c r="F636" s="2" t="n"/>
    </row>
    <row r="637" ht="15.75" customHeight="1" s="38">
      <c r="A637" s="2" t="n"/>
      <c r="B637" s="2" t="n"/>
      <c r="C637" s="2" t="n"/>
      <c r="D637" s="2" t="n"/>
      <c r="E637" s="2" t="n"/>
      <c r="F637" s="2" t="n"/>
    </row>
    <row r="638" ht="15.75" customHeight="1" s="38">
      <c r="A638" s="2" t="n"/>
      <c r="B638" s="2" t="n"/>
      <c r="C638" s="2" t="n"/>
      <c r="D638" s="2" t="n"/>
      <c r="E638" s="2" t="n"/>
      <c r="F638" s="2" t="n"/>
    </row>
    <row r="639" ht="15.75" customHeight="1" s="38">
      <c r="A639" s="2" t="n"/>
      <c r="B639" s="2" t="n"/>
      <c r="C639" s="2" t="n"/>
      <c r="D639" s="2" t="n"/>
      <c r="E639" s="2" t="n"/>
      <c r="F639" s="2" t="n"/>
    </row>
    <row r="640" ht="15.75" customHeight="1" s="38">
      <c r="A640" s="2" t="n"/>
      <c r="B640" s="2" t="n"/>
      <c r="C640" s="2" t="n"/>
      <c r="D640" s="2" t="n"/>
      <c r="E640" s="2" t="n"/>
      <c r="F640" s="2" t="n"/>
    </row>
    <row r="641" ht="15.75" customHeight="1" s="38">
      <c r="A641" s="2" t="n"/>
      <c r="B641" s="2" t="n"/>
      <c r="C641" s="2" t="n"/>
      <c r="D641" s="2" t="n"/>
      <c r="E641" s="2" t="n"/>
      <c r="F641" s="2" t="n"/>
    </row>
    <row r="642" ht="15.75" customHeight="1" s="38">
      <c r="A642" s="2" t="n"/>
      <c r="B642" s="2" t="n"/>
      <c r="C642" s="2" t="n"/>
      <c r="D642" s="2" t="n"/>
      <c r="E642" s="2" t="n"/>
      <c r="F642" s="2" t="n"/>
    </row>
    <row r="643" ht="15.75" customHeight="1" s="38">
      <c r="A643" s="2" t="n"/>
      <c r="B643" s="2" t="n"/>
      <c r="C643" s="2" t="n"/>
      <c r="D643" s="2" t="n"/>
      <c r="E643" s="2" t="n"/>
      <c r="F643" s="2" t="n"/>
    </row>
    <row r="644" ht="15.75" customHeight="1" s="38">
      <c r="A644" s="2" t="n"/>
      <c r="B644" s="2" t="n"/>
      <c r="C644" s="2" t="n"/>
      <c r="D644" s="2" t="n"/>
      <c r="E644" s="2" t="n"/>
      <c r="F644" s="2" t="n"/>
    </row>
    <row r="645" ht="15.75" customHeight="1" s="38">
      <c r="A645" s="2" t="n"/>
      <c r="B645" s="2" t="n"/>
      <c r="C645" s="2" t="n"/>
      <c r="D645" s="2" t="n"/>
      <c r="E645" s="2" t="n"/>
      <c r="F645" s="2" t="n"/>
    </row>
    <row r="646" ht="15.75" customHeight="1" s="38">
      <c r="A646" s="2" t="n"/>
      <c r="B646" s="2" t="n"/>
      <c r="C646" s="2" t="n"/>
      <c r="D646" s="2" t="n"/>
      <c r="E646" s="2" t="n"/>
      <c r="F646" s="2" t="n"/>
    </row>
    <row r="647" ht="15.75" customHeight="1" s="38">
      <c r="A647" s="2" t="n"/>
      <c r="B647" s="2" t="n"/>
      <c r="C647" s="2" t="n"/>
      <c r="D647" s="2" t="n"/>
      <c r="E647" s="2" t="n"/>
      <c r="F647" s="2" t="n"/>
    </row>
    <row r="648" ht="15.75" customHeight="1" s="38">
      <c r="A648" s="2" t="n"/>
      <c r="B648" s="2" t="n"/>
      <c r="C648" s="2" t="n"/>
      <c r="D648" s="2" t="n"/>
      <c r="E648" s="2" t="n"/>
      <c r="F648" s="2" t="n"/>
    </row>
    <row r="649" ht="15.75" customHeight="1" s="38">
      <c r="A649" s="2" t="n"/>
      <c r="B649" s="2" t="n"/>
      <c r="C649" s="2" t="n"/>
      <c r="D649" s="2" t="n"/>
      <c r="E649" s="2" t="n"/>
      <c r="F649" s="2" t="n"/>
    </row>
    <row r="650" ht="15.75" customHeight="1" s="38">
      <c r="A650" s="2" t="n"/>
      <c r="B650" s="2" t="n"/>
      <c r="C650" s="2" t="n"/>
      <c r="D650" s="2" t="n"/>
      <c r="E650" s="2" t="n"/>
      <c r="F650" s="2" t="n"/>
    </row>
    <row r="651" ht="15.75" customHeight="1" s="38">
      <c r="A651" s="2" t="n"/>
      <c r="B651" s="2" t="n"/>
      <c r="C651" s="2" t="n"/>
      <c r="D651" s="2" t="n"/>
      <c r="E651" s="2" t="n"/>
      <c r="F651" s="2" t="n"/>
    </row>
    <row r="652" ht="15.75" customHeight="1" s="38">
      <c r="A652" s="2" t="n"/>
      <c r="B652" s="2" t="n"/>
      <c r="C652" s="2" t="n"/>
      <c r="D652" s="2" t="n"/>
      <c r="E652" s="2" t="n"/>
      <c r="F652" s="2" t="n"/>
    </row>
    <row r="653" ht="15.75" customHeight="1" s="38">
      <c r="A653" s="2" t="n"/>
      <c r="B653" s="2" t="n"/>
      <c r="C653" s="2" t="n"/>
      <c r="D653" s="2" t="n"/>
      <c r="E653" s="2" t="n"/>
      <c r="F653" s="2" t="n"/>
    </row>
    <row r="654" ht="15.75" customHeight="1" s="38">
      <c r="A654" s="2" t="n"/>
      <c r="B654" s="2" t="n"/>
      <c r="C654" s="2" t="n"/>
      <c r="D654" s="2" t="n"/>
      <c r="E654" s="2" t="n"/>
      <c r="F654" s="2" t="n"/>
    </row>
    <row r="655" ht="15.75" customHeight="1" s="38">
      <c r="A655" s="2" t="n"/>
      <c r="B655" s="2" t="n"/>
      <c r="C655" s="2" t="n"/>
      <c r="D655" s="2" t="n"/>
      <c r="E655" s="2" t="n"/>
      <c r="F655" s="2" t="n"/>
    </row>
    <row r="656" ht="15.75" customHeight="1" s="38">
      <c r="A656" s="2" t="n"/>
      <c r="B656" s="2" t="n"/>
      <c r="C656" s="2" t="n"/>
      <c r="D656" s="2" t="n"/>
      <c r="E656" s="2" t="n"/>
      <c r="F656" s="2" t="n"/>
    </row>
    <row r="657" ht="15.75" customHeight="1" s="38">
      <c r="A657" s="2" t="n"/>
      <c r="B657" s="2" t="n"/>
      <c r="C657" s="2" t="n"/>
      <c r="D657" s="2" t="n"/>
      <c r="E657" s="2" t="n"/>
      <c r="F657" s="2" t="n"/>
    </row>
    <row r="658" ht="15.75" customHeight="1" s="38">
      <c r="A658" s="2" t="n"/>
      <c r="B658" s="2" t="n"/>
      <c r="C658" s="2" t="n"/>
      <c r="D658" s="2" t="n"/>
      <c r="E658" s="2" t="n"/>
      <c r="F658" s="2" t="n"/>
    </row>
    <row r="659" ht="15.75" customHeight="1" s="38">
      <c r="A659" s="2" t="n"/>
      <c r="B659" s="2" t="n"/>
      <c r="C659" s="2" t="n"/>
      <c r="D659" s="2" t="n"/>
      <c r="E659" s="2" t="n"/>
      <c r="F659" s="2" t="n"/>
    </row>
    <row r="660" ht="15.75" customHeight="1" s="38">
      <c r="A660" s="2" t="n"/>
      <c r="B660" s="2" t="n"/>
      <c r="C660" s="2" t="n"/>
      <c r="D660" s="2" t="n"/>
      <c r="E660" s="2" t="n"/>
      <c r="F660" s="2" t="n"/>
    </row>
    <row r="661" ht="15.75" customHeight="1" s="38">
      <c r="A661" s="2" t="n"/>
      <c r="B661" s="2" t="n"/>
      <c r="C661" s="2" t="n"/>
      <c r="D661" s="2" t="n"/>
      <c r="E661" s="2" t="n"/>
      <c r="F661" s="2" t="n"/>
    </row>
    <row r="662" ht="15.75" customHeight="1" s="38">
      <c r="A662" s="2" t="n"/>
      <c r="B662" s="2" t="n"/>
      <c r="C662" s="2" t="n"/>
      <c r="D662" s="2" t="n"/>
      <c r="E662" s="2" t="n"/>
      <c r="F662" s="2" t="n"/>
    </row>
    <row r="663" ht="15.75" customHeight="1" s="38">
      <c r="A663" s="2" t="n"/>
      <c r="B663" s="2" t="n"/>
      <c r="C663" s="2" t="n"/>
      <c r="D663" s="2" t="n"/>
      <c r="E663" s="2" t="n"/>
      <c r="F663" s="2" t="n"/>
    </row>
    <row r="664" ht="15.75" customHeight="1" s="38">
      <c r="A664" s="2" t="n"/>
      <c r="B664" s="2" t="n"/>
      <c r="C664" s="2" t="n"/>
      <c r="D664" s="2" t="n"/>
      <c r="E664" s="2" t="n"/>
      <c r="F664" s="2" t="n"/>
    </row>
    <row r="665" ht="15.75" customHeight="1" s="38">
      <c r="A665" s="2" t="n"/>
      <c r="B665" s="2" t="n"/>
      <c r="C665" s="2" t="n"/>
      <c r="D665" s="2" t="n"/>
      <c r="E665" s="2" t="n"/>
      <c r="F665" s="2" t="n"/>
    </row>
    <row r="666" ht="15.75" customHeight="1" s="38">
      <c r="A666" s="2" t="n"/>
      <c r="B666" s="2" t="n"/>
      <c r="C666" s="2" t="n"/>
      <c r="D666" s="2" t="n"/>
      <c r="E666" s="2" t="n"/>
      <c r="F666" s="2" t="n"/>
    </row>
    <row r="667" ht="15.75" customHeight="1" s="38">
      <c r="A667" s="2" t="n"/>
      <c r="B667" s="2" t="n"/>
      <c r="C667" s="2" t="n"/>
      <c r="D667" s="2" t="n"/>
      <c r="E667" s="2" t="n"/>
      <c r="F667" s="2" t="n"/>
    </row>
    <row r="668" ht="15.75" customHeight="1" s="38">
      <c r="A668" s="2" t="n"/>
      <c r="B668" s="2" t="n"/>
      <c r="C668" s="2" t="n"/>
      <c r="D668" s="2" t="n"/>
      <c r="E668" s="2" t="n"/>
      <c r="F668" s="2" t="n"/>
    </row>
    <row r="669" ht="15.75" customHeight="1" s="38">
      <c r="A669" s="2" t="n"/>
      <c r="B669" s="2" t="n"/>
      <c r="C669" s="2" t="n"/>
      <c r="D669" s="2" t="n"/>
      <c r="E669" s="2" t="n"/>
      <c r="F669" s="2" t="n"/>
    </row>
    <row r="670" ht="15.75" customHeight="1" s="38">
      <c r="A670" s="2" t="n"/>
      <c r="B670" s="2" t="n"/>
      <c r="C670" s="2" t="n"/>
      <c r="D670" s="2" t="n"/>
      <c r="E670" s="2" t="n"/>
      <c r="F670" s="2" t="n"/>
    </row>
    <row r="671" ht="15.75" customHeight="1" s="38">
      <c r="A671" s="2" t="n"/>
      <c r="B671" s="2" t="n"/>
      <c r="C671" s="2" t="n"/>
      <c r="D671" s="2" t="n"/>
      <c r="E671" s="2" t="n"/>
      <c r="F671" s="2" t="n"/>
    </row>
    <row r="672" ht="15.75" customHeight="1" s="38">
      <c r="A672" s="2" t="n"/>
      <c r="B672" s="2" t="n"/>
      <c r="C672" s="2" t="n"/>
      <c r="D672" s="2" t="n"/>
      <c r="E672" s="2" t="n"/>
      <c r="F672" s="2" t="n"/>
    </row>
    <row r="673" ht="15.75" customHeight="1" s="38">
      <c r="A673" s="2" t="n"/>
      <c r="B673" s="2" t="n"/>
      <c r="C673" s="2" t="n"/>
      <c r="D673" s="2" t="n"/>
      <c r="E673" s="2" t="n"/>
      <c r="F673" s="2" t="n"/>
    </row>
    <row r="674" ht="15.75" customHeight="1" s="38">
      <c r="A674" s="2" t="n"/>
      <c r="B674" s="2" t="n"/>
      <c r="C674" s="2" t="n"/>
      <c r="D674" s="2" t="n"/>
      <c r="E674" s="2" t="n"/>
      <c r="F674" s="2" t="n"/>
    </row>
    <row r="675" ht="15.75" customHeight="1" s="38">
      <c r="A675" s="2" t="n"/>
      <c r="B675" s="2" t="n"/>
      <c r="C675" s="2" t="n"/>
      <c r="D675" s="2" t="n"/>
      <c r="E675" s="2" t="n"/>
      <c r="F675" s="2" t="n"/>
    </row>
    <row r="676" ht="15.75" customHeight="1" s="38">
      <c r="A676" s="2" t="n"/>
      <c r="B676" s="2" t="n"/>
      <c r="C676" s="2" t="n"/>
      <c r="D676" s="2" t="n"/>
      <c r="E676" s="2" t="n"/>
      <c r="F676" s="2" t="n"/>
    </row>
    <row r="677" ht="15.75" customHeight="1" s="38">
      <c r="A677" s="2" t="n"/>
      <c r="B677" s="2" t="n"/>
      <c r="C677" s="2" t="n"/>
      <c r="D677" s="2" t="n"/>
      <c r="E677" s="2" t="n"/>
      <c r="F677" s="2" t="n"/>
    </row>
    <row r="678" ht="15.75" customHeight="1" s="38">
      <c r="A678" s="2" t="n"/>
      <c r="B678" s="2" t="n"/>
      <c r="C678" s="2" t="n"/>
      <c r="D678" s="2" t="n"/>
      <c r="E678" s="2" t="n"/>
      <c r="F678" s="2" t="n"/>
    </row>
    <row r="679" ht="15.75" customHeight="1" s="38">
      <c r="A679" s="2" t="n"/>
      <c r="B679" s="2" t="n"/>
      <c r="C679" s="2" t="n"/>
      <c r="D679" s="2" t="n"/>
      <c r="E679" s="2" t="n"/>
      <c r="F679" s="2" t="n"/>
    </row>
    <row r="680" ht="15.75" customHeight="1" s="38">
      <c r="A680" s="2" t="n"/>
      <c r="B680" s="2" t="n"/>
      <c r="C680" s="2" t="n"/>
      <c r="D680" s="2" t="n"/>
      <c r="E680" s="2" t="n"/>
      <c r="F680" s="2" t="n"/>
    </row>
    <row r="681" ht="15.75" customHeight="1" s="38">
      <c r="A681" s="2" t="n"/>
      <c r="B681" s="2" t="n"/>
      <c r="C681" s="2" t="n"/>
      <c r="D681" s="2" t="n"/>
      <c r="E681" s="2" t="n"/>
      <c r="F681" s="2" t="n"/>
    </row>
    <row r="682" ht="15.75" customHeight="1" s="38">
      <c r="A682" s="2" t="n"/>
      <c r="B682" s="2" t="n"/>
      <c r="C682" s="2" t="n"/>
      <c r="D682" s="2" t="n"/>
      <c r="E682" s="2" t="n"/>
      <c r="F682" s="2" t="n"/>
    </row>
    <row r="683" ht="15.75" customHeight="1" s="38">
      <c r="A683" s="2" t="n"/>
      <c r="B683" s="2" t="n"/>
      <c r="C683" s="2" t="n"/>
      <c r="D683" s="2" t="n"/>
      <c r="E683" s="2" t="n"/>
      <c r="F683" s="2" t="n"/>
    </row>
    <row r="684" ht="15.75" customHeight="1" s="38">
      <c r="A684" s="2" t="n"/>
      <c r="B684" s="2" t="n"/>
      <c r="C684" s="2" t="n"/>
      <c r="D684" s="2" t="n"/>
      <c r="E684" s="2" t="n"/>
      <c r="F684" s="2" t="n"/>
    </row>
    <row r="685" ht="15.75" customHeight="1" s="38">
      <c r="A685" s="2" t="n"/>
      <c r="B685" s="2" t="n"/>
      <c r="C685" s="2" t="n"/>
      <c r="D685" s="2" t="n"/>
      <c r="E685" s="2" t="n"/>
      <c r="F685" s="2" t="n"/>
    </row>
    <row r="686" ht="15.75" customHeight="1" s="38">
      <c r="A686" s="2" t="n"/>
      <c r="B686" s="2" t="n"/>
      <c r="C686" s="2" t="n"/>
      <c r="D686" s="2" t="n"/>
      <c r="E686" s="2" t="n"/>
      <c r="F686" s="2" t="n"/>
    </row>
    <row r="687" ht="15.75" customHeight="1" s="38">
      <c r="A687" s="2" t="n"/>
      <c r="B687" s="2" t="n"/>
      <c r="C687" s="2" t="n"/>
      <c r="D687" s="2" t="n"/>
      <c r="E687" s="2" t="n"/>
      <c r="F687" s="2" t="n"/>
    </row>
    <row r="688" ht="15.75" customHeight="1" s="38">
      <c r="A688" s="2" t="n"/>
      <c r="B688" s="2" t="n"/>
      <c r="C688" s="2" t="n"/>
      <c r="D688" s="2" t="n"/>
      <c r="E688" s="2" t="n"/>
      <c r="F688" s="2" t="n"/>
    </row>
    <row r="689" ht="15.75" customHeight="1" s="38">
      <c r="A689" s="2" t="n"/>
      <c r="B689" s="2" t="n"/>
      <c r="C689" s="2" t="n"/>
      <c r="D689" s="2" t="n"/>
      <c r="E689" s="2" t="n"/>
      <c r="F689" s="2" t="n"/>
    </row>
    <row r="690" ht="15.75" customHeight="1" s="38">
      <c r="A690" s="2" t="n"/>
      <c r="B690" s="2" t="n"/>
      <c r="C690" s="2" t="n"/>
      <c r="D690" s="2" t="n"/>
      <c r="E690" s="2" t="n"/>
      <c r="F690" s="2" t="n"/>
    </row>
    <row r="691" ht="15.75" customHeight="1" s="38">
      <c r="A691" s="2" t="n"/>
      <c r="B691" s="2" t="n"/>
      <c r="C691" s="2" t="n"/>
      <c r="D691" s="2" t="n"/>
      <c r="E691" s="2" t="n"/>
      <c r="F691" s="2" t="n"/>
    </row>
    <row r="692" ht="15.75" customHeight="1" s="38">
      <c r="A692" s="2" t="n"/>
      <c r="B692" s="2" t="n"/>
      <c r="C692" s="2" t="n"/>
      <c r="D692" s="2" t="n"/>
      <c r="E692" s="2" t="n"/>
      <c r="F692" s="2" t="n"/>
    </row>
    <row r="693" ht="15.75" customHeight="1" s="38">
      <c r="A693" s="2" t="n"/>
      <c r="B693" s="2" t="n"/>
      <c r="C693" s="2" t="n"/>
      <c r="D693" s="2" t="n"/>
      <c r="E693" s="2" t="n"/>
      <c r="F693" s="2" t="n"/>
    </row>
    <row r="694" ht="15.75" customHeight="1" s="38">
      <c r="A694" s="2" t="n"/>
      <c r="B694" s="2" t="n"/>
      <c r="C694" s="2" t="n"/>
      <c r="D694" s="2" t="n"/>
      <c r="E694" s="2" t="n"/>
      <c r="F694" s="2" t="n"/>
    </row>
    <row r="695" ht="15.75" customHeight="1" s="38">
      <c r="A695" s="2" t="n"/>
      <c r="B695" s="2" t="n"/>
      <c r="C695" s="2" t="n"/>
      <c r="D695" s="2" t="n"/>
      <c r="E695" s="2" t="n"/>
      <c r="F695" s="2" t="n"/>
    </row>
    <row r="696" ht="15.75" customHeight="1" s="38">
      <c r="A696" s="2" t="n"/>
      <c r="B696" s="2" t="n"/>
      <c r="C696" s="2" t="n"/>
      <c r="D696" s="2" t="n"/>
      <c r="E696" s="2" t="n"/>
      <c r="F696" s="2" t="n"/>
    </row>
    <row r="697" ht="15.75" customHeight="1" s="38">
      <c r="A697" s="2" t="n"/>
      <c r="B697" s="2" t="n"/>
      <c r="C697" s="2" t="n"/>
      <c r="D697" s="2" t="n"/>
      <c r="E697" s="2" t="n"/>
      <c r="F697" s="2" t="n"/>
    </row>
    <row r="698" ht="15.75" customHeight="1" s="38">
      <c r="A698" s="2" t="n"/>
      <c r="B698" s="2" t="n"/>
      <c r="C698" s="2" t="n"/>
      <c r="D698" s="2" t="n"/>
      <c r="E698" s="2" t="n"/>
      <c r="F698" s="2" t="n"/>
    </row>
    <row r="699" ht="15.75" customHeight="1" s="38">
      <c r="A699" s="2" t="n"/>
      <c r="B699" s="2" t="n"/>
      <c r="C699" s="2" t="n"/>
      <c r="D699" s="2" t="n"/>
      <c r="E699" s="2" t="n"/>
      <c r="F699" s="2" t="n"/>
    </row>
    <row r="700" ht="15.75" customHeight="1" s="38">
      <c r="A700" s="2" t="n"/>
      <c r="B700" s="2" t="n"/>
      <c r="C700" s="2" t="n"/>
      <c r="D700" s="2" t="n"/>
      <c r="E700" s="2" t="n"/>
      <c r="F700" s="2" t="n"/>
    </row>
    <row r="701" ht="15.75" customHeight="1" s="38">
      <c r="A701" s="2" t="n"/>
      <c r="B701" s="2" t="n"/>
      <c r="C701" s="2" t="n"/>
      <c r="D701" s="2" t="n"/>
      <c r="E701" s="2" t="n"/>
      <c r="F701" s="2" t="n"/>
    </row>
    <row r="702" ht="15.75" customHeight="1" s="38">
      <c r="A702" s="2" t="n"/>
      <c r="B702" s="2" t="n"/>
      <c r="C702" s="2" t="n"/>
      <c r="D702" s="2" t="n"/>
      <c r="E702" s="2" t="n"/>
      <c r="F702" s="2" t="n"/>
    </row>
    <row r="703" ht="15.75" customHeight="1" s="38">
      <c r="A703" s="2" t="n"/>
      <c r="B703" s="2" t="n"/>
      <c r="C703" s="2" t="n"/>
      <c r="D703" s="2" t="n"/>
      <c r="E703" s="2" t="n"/>
      <c r="F703" s="2" t="n"/>
    </row>
    <row r="704" ht="15.75" customHeight="1" s="38">
      <c r="A704" s="2" t="n"/>
      <c r="B704" s="2" t="n"/>
      <c r="C704" s="2" t="n"/>
      <c r="D704" s="2" t="n"/>
      <c r="E704" s="2" t="n"/>
      <c r="F704" s="2" t="n"/>
    </row>
    <row r="705" ht="15.75" customHeight="1" s="38">
      <c r="A705" s="2" t="n"/>
      <c r="B705" s="2" t="n"/>
      <c r="C705" s="2" t="n"/>
      <c r="D705" s="2" t="n"/>
      <c r="E705" s="2" t="n"/>
      <c r="F705" s="2" t="n"/>
    </row>
    <row r="706" ht="15.75" customHeight="1" s="38">
      <c r="A706" s="2" t="n"/>
      <c r="B706" s="2" t="n"/>
      <c r="C706" s="2" t="n"/>
      <c r="D706" s="2" t="n"/>
      <c r="E706" s="2" t="n"/>
      <c r="F706" s="2" t="n"/>
    </row>
    <row r="707" ht="15.75" customHeight="1" s="38">
      <c r="A707" s="2" t="n"/>
      <c r="B707" s="2" t="n"/>
      <c r="C707" s="2" t="n"/>
      <c r="D707" s="2" t="n"/>
      <c r="E707" s="2" t="n"/>
      <c r="F707" s="2" t="n"/>
    </row>
    <row r="708" ht="15.75" customHeight="1" s="38">
      <c r="A708" s="2" t="n"/>
      <c r="B708" s="2" t="n"/>
      <c r="C708" s="2" t="n"/>
      <c r="D708" s="2" t="n"/>
      <c r="E708" s="2" t="n"/>
      <c r="F708" s="2" t="n"/>
    </row>
    <row r="709" ht="15.75" customHeight="1" s="38">
      <c r="A709" s="2" t="n"/>
      <c r="B709" s="2" t="n"/>
      <c r="C709" s="2" t="n"/>
      <c r="D709" s="2" t="n"/>
      <c r="E709" s="2" t="n"/>
      <c r="F709" s="2" t="n"/>
    </row>
    <row r="710" ht="15.75" customHeight="1" s="38">
      <c r="A710" s="2" t="n"/>
      <c r="B710" s="2" t="n"/>
      <c r="C710" s="2" t="n"/>
      <c r="D710" s="2" t="n"/>
      <c r="E710" s="2" t="n"/>
      <c r="F710" s="2" t="n"/>
    </row>
    <row r="711" ht="15.75" customHeight="1" s="38">
      <c r="A711" s="2" t="n"/>
      <c r="B711" s="2" t="n"/>
      <c r="C711" s="2" t="n"/>
      <c r="D711" s="2" t="n"/>
      <c r="E711" s="2" t="n"/>
      <c r="F711" s="2" t="n"/>
    </row>
    <row r="712" ht="15.75" customHeight="1" s="38">
      <c r="A712" s="2" t="n"/>
      <c r="B712" s="2" t="n"/>
      <c r="C712" s="2" t="n"/>
      <c r="D712" s="2" t="n"/>
      <c r="E712" s="2" t="n"/>
      <c r="F712" s="2" t="n"/>
    </row>
    <row r="713" ht="15.75" customHeight="1" s="38">
      <c r="A713" s="2" t="n"/>
      <c r="B713" s="2" t="n"/>
      <c r="C713" s="2" t="n"/>
      <c r="D713" s="2" t="n"/>
      <c r="E713" s="2" t="n"/>
      <c r="F713" s="2" t="n"/>
    </row>
    <row r="714" ht="15.75" customHeight="1" s="38">
      <c r="A714" s="2" t="n"/>
      <c r="B714" s="2" t="n"/>
      <c r="C714" s="2" t="n"/>
      <c r="D714" s="2" t="n"/>
      <c r="E714" s="2" t="n"/>
      <c r="F714" s="2" t="n"/>
    </row>
    <row r="715" ht="15.75" customHeight="1" s="38">
      <c r="A715" s="2" t="n"/>
      <c r="B715" s="2" t="n"/>
      <c r="C715" s="2" t="n"/>
      <c r="D715" s="2" t="n"/>
      <c r="E715" s="2" t="n"/>
      <c r="F715" s="2" t="n"/>
    </row>
    <row r="716" ht="15.75" customHeight="1" s="38">
      <c r="A716" s="2" t="n"/>
      <c r="B716" s="2" t="n"/>
      <c r="C716" s="2" t="n"/>
      <c r="D716" s="2" t="n"/>
      <c r="E716" s="2" t="n"/>
      <c r="F716" s="2" t="n"/>
    </row>
    <row r="717" ht="15.75" customHeight="1" s="38">
      <c r="A717" s="2" t="n"/>
      <c r="B717" s="2" t="n"/>
      <c r="C717" s="2" t="n"/>
      <c r="D717" s="2" t="n"/>
      <c r="E717" s="2" t="n"/>
      <c r="F717" s="2" t="n"/>
    </row>
    <row r="718" ht="15.75" customHeight="1" s="38">
      <c r="A718" s="2" t="n"/>
      <c r="B718" s="2" t="n"/>
      <c r="C718" s="2" t="n"/>
      <c r="D718" s="2" t="n"/>
      <c r="E718" s="2" t="n"/>
      <c r="F718" s="2" t="n"/>
    </row>
    <row r="719" ht="15.75" customHeight="1" s="38">
      <c r="A719" s="2" t="n"/>
      <c r="B719" s="2" t="n"/>
      <c r="C719" s="2" t="n"/>
      <c r="D719" s="2" t="n"/>
      <c r="E719" s="2" t="n"/>
      <c r="F719" s="2" t="n"/>
    </row>
    <row r="720" ht="15.75" customHeight="1" s="38">
      <c r="A720" s="2" t="n"/>
      <c r="B720" s="2" t="n"/>
      <c r="C720" s="2" t="n"/>
      <c r="D720" s="2" t="n"/>
      <c r="E720" s="2" t="n"/>
      <c r="F720" s="2" t="n"/>
    </row>
    <row r="721" ht="15.75" customHeight="1" s="38">
      <c r="A721" s="2" t="n"/>
      <c r="B721" s="2" t="n"/>
      <c r="C721" s="2" t="n"/>
      <c r="D721" s="2" t="n"/>
      <c r="E721" s="2" t="n"/>
      <c r="F721" s="2" t="n"/>
    </row>
    <row r="722" ht="15.75" customHeight="1" s="38">
      <c r="A722" s="2" t="n"/>
      <c r="B722" s="2" t="n"/>
      <c r="C722" s="2" t="n"/>
      <c r="D722" s="2" t="n"/>
      <c r="E722" s="2" t="n"/>
      <c r="F722" s="2" t="n"/>
    </row>
    <row r="723" ht="15.75" customHeight="1" s="38">
      <c r="A723" s="2" t="n"/>
      <c r="B723" s="2" t="n"/>
      <c r="C723" s="2" t="n"/>
      <c r="D723" s="2" t="n"/>
      <c r="E723" s="2" t="n"/>
      <c r="F723" s="2" t="n"/>
    </row>
    <row r="724" ht="15.75" customHeight="1" s="38">
      <c r="A724" s="2" t="n"/>
      <c r="B724" s="2" t="n"/>
      <c r="C724" s="2" t="n"/>
      <c r="D724" s="2" t="n"/>
      <c r="E724" s="2" t="n"/>
      <c r="F724" s="2" t="n"/>
    </row>
    <row r="725" ht="15.75" customHeight="1" s="38">
      <c r="A725" s="2" t="n"/>
      <c r="B725" s="2" t="n"/>
      <c r="C725" s="2" t="n"/>
      <c r="D725" s="2" t="n"/>
      <c r="E725" s="2" t="n"/>
      <c r="F725" s="2" t="n"/>
    </row>
    <row r="726" ht="15.75" customHeight="1" s="38">
      <c r="A726" s="2" t="n"/>
      <c r="B726" s="2" t="n"/>
      <c r="C726" s="2" t="n"/>
      <c r="D726" s="2" t="n"/>
      <c r="E726" s="2" t="n"/>
      <c r="F726" s="2" t="n"/>
    </row>
    <row r="727" ht="15.75" customHeight="1" s="38">
      <c r="A727" s="2" t="n"/>
      <c r="B727" s="2" t="n"/>
      <c r="C727" s="2" t="n"/>
      <c r="D727" s="2" t="n"/>
      <c r="E727" s="2" t="n"/>
      <c r="F727" s="2" t="n"/>
    </row>
    <row r="728" ht="15.75" customHeight="1" s="38">
      <c r="A728" s="2" t="n"/>
      <c r="B728" s="2" t="n"/>
      <c r="C728" s="2" t="n"/>
      <c r="D728" s="2" t="n"/>
      <c r="E728" s="2" t="n"/>
      <c r="F728" s="2" t="n"/>
    </row>
    <row r="729" ht="15.75" customHeight="1" s="38">
      <c r="A729" s="2" t="n"/>
      <c r="B729" s="2" t="n"/>
      <c r="C729" s="2" t="n"/>
      <c r="D729" s="2" t="n"/>
      <c r="E729" s="2" t="n"/>
      <c r="F729" s="2" t="n"/>
    </row>
    <row r="730" ht="15.75" customHeight="1" s="38">
      <c r="A730" s="2" t="n"/>
      <c r="B730" s="2" t="n"/>
      <c r="C730" s="2" t="n"/>
      <c r="D730" s="2" t="n"/>
      <c r="E730" s="2" t="n"/>
      <c r="F730" s="2" t="n"/>
    </row>
    <row r="731" ht="15.75" customHeight="1" s="38">
      <c r="A731" s="2" t="n"/>
      <c r="B731" s="2" t="n"/>
      <c r="C731" s="2" t="n"/>
      <c r="D731" s="2" t="n"/>
      <c r="E731" s="2" t="n"/>
      <c r="F731" s="2" t="n"/>
    </row>
    <row r="732" ht="15.75" customHeight="1" s="38">
      <c r="A732" s="2" t="n"/>
      <c r="B732" s="2" t="n"/>
      <c r="C732" s="2" t="n"/>
      <c r="D732" s="2" t="n"/>
      <c r="E732" s="2" t="n"/>
      <c r="F732" s="2" t="n"/>
    </row>
    <row r="733" ht="15.75" customHeight="1" s="38">
      <c r="A733" s="2" t="n"/>
      <c r="B733" s="2" t="n"/>
      <c r="C733" s="2" t="n"/>
      <c r="D733" s="2" t="n"/>
      <c r="E733" s="2" t="n"/>
      <c r="F733" s="2" t="n"/>
    </row>
    <row r="734" ht="15.75" customHeight="1" s="38">
      <c r="A734" s="2" t="n"/>
      <c r="B734" s="2" t="n"/>
      <c r="C734" s="2" t="n"/>
      <c r="D734" s="2" t="n"/>
      <c r="E734" s="2" t="n"/>
      <c r="F734" s="2" t="n"/>
    </row>
    <row r="735" ht="15.75" customHeight="1" s="38">
      <c r="A735" s="2" t="n"/>
      <c r="B735" s="2" t="n"/>
      <c r="C735" s="2" t="n"/>
      <c r="D735" s="2" t="n"/>
      <c r="E735" s="2" t="n"/>
      <c r="F735" s="2" t="n"/>
    </row>
    <row r="736" ht="15.75" customHeight="1" s="38">
      <c r="A736" s="2" t="n"/>
      <c r="B736" s="2" t="n"/>
      <c r="C736" s="2" t="n"/>
      <c r="D736" s="2" t="n"/>
      <c r="E736" s="2" t="n"/>
      <c r="F736" s="2" t="n"/>
    </row>
    <row r="737" ht="15.75" customHeight="1" s="38">
      <c r="A737" s="2" t="n"/>
      <c r="B737" s="2" t="n"/>
      <c r="C737" s="2" t="n"/>
      <c r="D737" s="2" t="n"/>
      <c r="E737" s="2" t="n"/>
      <c r="F737" s="2" t="n"/>
    </row>
    <row r="738" ht="15.75" customHeight="1" s="38">
      <c r="A738" s="2" t="n"/>
      <c r="B738" s="2" t="n"/>
      <c r="C738" s="2" t="n"/>
      <c r="D738" s="2" t="n"/>
      <c r="E738" s="2" t="n"/>
      <c r="F738" s="2" t="n"/>
    </row>
    <row r="739" ht="15.75" customHeight="1" s="38">
      <c r="A739" s="2" t="n"/>
      <c r="B739" s="2" t="n"/>
      <c r="C739" s="2" t="n"/>
      <c r="D739" s="2" t="n"/>
      <c r="E739" s="2" t="n"/>
      <c r="F739" s="2" t="n"/>
    </row>
    <row r="740" ht="15.75" customHeight="1" s="38">
      <c r="A740" s="2" t="n"/>
      <c r="B740" s="2" t="n"/>
      <c r="C740" s="2" t="n"/>
      <c r="D740" s="2" t="n"/>
      <c r="E740" s="2" t="n"/>
      <c r="F740" s="2" t="n"/>
    </row>
    <row r="741" ht="15.75" customHeight="1" s="38">
      <c r="A741" s="2" t="n"/>
      <c r="B741" s="2" t="n"/>
      <c r="C741" s="2" t="n"/>
      <c r="D741" s="2" t="n"/>
      <c r="E741" s="2" t="n"/>
      <c r="F741" s="2" t="n"/>
    </row>
    <row r="742" ht="15.75" customHeight="1" s="38">
      <c r="A742" s="2" t="n"/>
      <c r="B742" s="2" t="n"/>
      <c r="C742" s="2" t="n"/>
      <c r="D742" s="2" t="n"/>
      <c r="E742" s="2" t="n"/>
      <c r="F742" s="2" t="n"/>
    </row>
    <row r="743" ht="15.75" customHeight="1" s="38">
      <c r="A743" s="2" t="n"/>
      <c r="B743" s="2" t="n"/>
      <c r="C743" s="2" t="n"/>
      <c r="D743" s="2" t="n"/>
      <c r="E743" s="2" t="n"/>
      <c r="F743" s="2" t="n"/>
    </row>
    <row r="744" ht="15.75" customHeight="1" s="38">
      <c r="A744" s="2" t="n"/>
      <c r="B744" s="2" t="n"/>
      <c r="C744" s="2" t="n"/>
      <c r="D744" s="2" t="n"/>
      <c r="E744" s="2" t="n"/>
      <c r="F744" s="2" t="n"/>
    </row>
    <row r="745" ht="15.75" customHeight="1" s="38">
      <c r="A745" s="2" t="n"/>
      <c r="B745" s="2" t="n"/>
      <c r="C745" s="2" t="n"/>
      <c r="D745" s="2" t="n"/>
      <c r="E745" s="2" t="n"/>
      <c r="F745" s="2" t="n"/>
    </row>
    <row r="746" ht="15.75" customHeight="1" s="38">
      <c r="A746" s="2" t="n"/>
      <c r="B746" s="2" t="n"/>
      <c r="C746" s="2" t="n"/>
      <c r="D746" s="2" t="n"/>
      <c r="E746" s="2" t="n"/>
      <c r="F746" s="2" t="n"/>
    </row>
    <row r="747" ht="15.75" customHeight="1" s="38">
      <c r="A747" s="2" t="n"/>
      <c r="B747" s="2" t="n"/>
      <c r="C747" s="2" t="n"/>
      <c r="D747" s="2" t="n"/>
      <c r="E747" s="2" t="n"/>
      <c r="F747" s="2" t="n"/>
    </row>
    <row r="748" ht="15.75" customHeight="1" s="38">
      <c r="A748" s="2" t="n"/>
      <c r="B748" s="2" t="n"/>
      <c r="C748" s="2" t="n"/>
      <c r="D748" s="2" t="n"/>
      <c r="E748" s="2" t="n"/>
      <c r="F748" s="2" t="n"/>
    </row>
    <row r="749" ht="15.75" customHeight="1" s="38">
      <c r="A749" s="2" t="n"/>
      <c r="B749" s="2" t="n"/>
      <c r="C749" s="2" t="n"/>
      <c r="D749" s="2" t="n"/>
      <c r="E749" s="2" t="n"/>
      <c r="F749" s="2" t="n"/>
    </row>
    <row r="750" ht="15.75" customHeight="1" s="38">
      <c r="A750" s="2" t="n"/>
      <c r="B750" s="2" t="n"/>
      <c r="C750" s="2" t="n"/>
      <c r="D750" s="2" t="n"/>
      <c r="E750" s="2" t="n"/>
      <c r="F750" s="2" t="n"/>
    </row>
    <row r="751" ht="15.75" customHeight="1" s="38">
      <c r="A751" s="2" t="n"/>
      <c r="B751" s="2" t="n"/>
      <c r="C751" s="2" t="n"/>
      <c r="D751" s="2" t="n"/>
      <c r="E751" s="2" t="n"/>
      <c r="F751" s="2" t="n"/>
    </row>
    <row r="752" ht="15.75" customHeight="1" s="38">
      <c r="A752" s="2" t="n"/>
      <c r="B752" s="2" t="n"/>
      <c r="C752" s="2" t="n"/>
      <c r="D752" s="2" t="n"/>
      <c r="E752" s="2" t="n"/>
      <c r="F752" s="2" t="n"/>
    </row>
    <row r="753" ht="15.75" customHeight="1" s="38">
      <c r="A753" s="2" t="n"/>
      <c r="B753" s="2" t="n"/>
      <c r="C753" s="2" t="n"/>
      <c r="D753" s="2" t="n"/>
      <c r="E753" s="2" t="n"/>
      <c r="F753" s="2" t="n"/>
    </row>
    <row r="754" ht="15.75" customHeight="1" s="38">
      <c r="A754" s="2" t="n"/>
      <c r="B754" s="2" t="n"/>
      <c r="C754" s="2" t="n"/>
      <c r="D754" s="2" t="n"/>
      <c r="E754" s="2" t="n"/>
      <c r="F754" s="2" t="n"/>
    </row>
    <row r="755" ht="15.75" customHeight="1" s="38">
      <c r="A755" s="2" t="n"/>
      <c r="B755" s="2" t="n"/>
      <c r="C755" s="2" t="n"/>
      <c r="D755" s="2" t="n"/>
      <c r="E755" s="2" t="n"/>
      <c r="F755" s="2" t="n"/>
    </row>
    <row r="756" ht="15.75" customHeight="1" s="38">
      <c r="A756" s="2" t="n"/>
      <c r="B756" s="2" t="n"/>
      <c r="C756" s="2" t="n"/>
      <c r="D756" s="2" t="n"/>
      <c r="E756" s="2" t="n"/>
      <c r="F756" s="2" t="n"/>
    </row>
    <row r="757" ht="15.75" customHeight="1" s="38">
      <c r="A757" s="2" t="n"/>
      <c r="B757" s="2" t="n"/>
      <c r="C757" s="2" t="n"/>
      <c r="D757" s="2" t="n"/>
      <c r="E757" s="2" t="n"/>
      <c r="F757" s="2" t="n"/>
    </row>
    <row r="758" ht="15.75" customHeight="1" s="38">
      <c r="A758" s="2" t="n"/>
      <c r="B758" s="2" t="n"/>
      <c r="C758" s="2" t="n"/>
      <c r="D758" s="2" t="n"/>
      <c r="E758" s="2" t="n"/>
      <c r="F758" s="2" t="n"/>
    </row>
    <row r="759" ht="15.75" customHeight="1" s="38">
      <c r="A759" s="2" t="n"/>
      <c r="B759" s="2" t="n"/>
      <c r="C759" s="2" t="n"/>
      <c r="D759" s="2" t="n"/>
      <c r="E759" s="2" t="n"/>
      <c r="F759" s="2" t="n"/>
    </row>
    <row r="760" ht="15.75" customHeight="1" s="38">
      <c r="A760" s="2" t="n"/>
      <c r="B760" s="2" t="n"/>
      <c r="C760" s="2" t="n"/>
      <c r="D760" s="2" t="n"/>
      <c r="E760" s="2" t="n"/>
      <c r="F760" s="2" t="n"/>
    </row>
    <row r="761" ht="15.75" customHeight="1" s="38">
      <c r="A761" s="2" t="n"/>
      <c r="B761" s="2" t="n"/>
      <c r="C761" s="2" t="n"/>
      <c r="D761" s="2" t="n"/>
      <c r="E761" s="2" t="n"/>
      <c r="F761" s="2" t="n"/>
    </row>
    <row r="762" ht="15.75" customHeight="1" s="38">
      <c r="A762" s="2" t="n"/>
      <c r="B762" s="2" t="n"/>
      <c r="C762" s="2" t="n"/>
      <c r="D762" s="2" t="n"/>
      <c r="E762" s="2" t="n"/>
      <c r="F762" s="2" t="n"/>
    </row>
    <row r="763" ht="15.75" customHeight="1" s="38">
      <c r="A763" s="2" t="n"/>
      <c r="B763" s="2" t="n"/>
      <c r="C763" s="2" t="n"/>
      <c r="D763" s="2" t="n"/>
      <c r="E763" s="2" t="n"/>
      <c r="F763" s="2" t="n"/>
    </row>
    <row r="764" ht="15.75" customHeight="1" s="38">
      <c r="A764" s="2" t="n"/>
      <c r="B764" s="2" t="n"/>
      <c r="C764" s="2" t="n"/>
      <c r="D764" s="2" t="n"/>
      <c r="E764" s="2" t="n"/>
      <c r="F764" s="2" t="n"/>
    </row>
    <row r="765" ht="15.75" customHeight="1" s="38">
      <c r="A765" s="2" t="n"/>
      <c r="B765" s="2" t="n"/>
      <c r="C765" s="2" t="n"/>
      <c r="D765" s="2" t="n"/>
      <c r="E765" s="2" t="n"/>
      <c r="F765" s="2" t="n"/>
    </row>
    <row r="766" ht="15.75" customHeight="1" s="38">
      <c r="A766" s="2" t="n"/>
      <c r="B766" s="2" t="n"/>
      <c r="C766" s="2" t="n"/>
      <c r="D766" s="2" t="n"/>
      <c r="E766" s="2" t="n"/>
      <c r="F766" s="2" t="n"/>
    </row>
    <row r="767" ht="15.75" customHeight="1" s="38">
      <c r="A767" s="2" t="n"/>
      <c r="B767" s="2" t="n"/>
      <c r="C767" s="2" t="n"/>
      <c r="D767" s="2" t="n"/>
      <c r="E767" s="2" t="n"/>
      <c r="F767" s="2" t="n"/>
    </row>
    <row r="768" ht="15.75" customHeight="1" s="38">
      <c r="A768" s="2" t="n"/>
      <c r="B768" s="2" t="n"/>
      <c r="C768" s="2" t="n"/>
      <c r="D768" s="2" t="n"/>
      <c r="E768" s="2" t="n"/>
      <c r="F768" s="2" t="n"/>
    </row>
    <row r="769" ht="15.75" customHeight="1" s="38">
      <c r="A769" s="2" t="n"/>
      <c r="B769" s="2" t="n"/>
      <c r="C769" s="2" t="n"/>
      <c r="D769" s="2" t="n"/>
      <c r="E769" s="2" t="n"/>
      <c r="F769" s="2" t="n"/>
    </row>
    <row r="770" ht="15.75" customHeight="1" s="38">
      <c r="A770" s="2" t="n"/>
      <c r="B770" s="2" t="n"/>
      <c r="C770" s="2" t="n"/>
      <c r="D770" s="2" t="n"/>
      <c r="E770" s="2" t="n"/>
      <c r="F770" s="2" t="n"/>
    </row>
    <row r="771" ht="15.75" customHeight="1" s="38">
      <c r="A771" s="2" t="n"/>
      <c r="B771" s="2" t="n"/>
      <c r="C771" s="2" t="n"/>
      <c r="D771" s="2" t="n"/>
      <c r="E771" s="2" t="n"/>
      <c r="F771" s="2" t="n"/>
    </row>
    <row r="772" ht="15.75" customHeight="1" s="38">
      <c r="A772" s="2" t="n"/>
      <c r="B772" s="2" t="n"/>
      <c r="C772" s="2" t="n"/>
      <c r="D772" s="2" t="n"/>
      <c r="E772" s="2" t="n"/>
      <c r="F772" s="2" t="n"/>
    </row>
    <row r="773" ht="15.75" customHeight="1" s="38">
      <c r="A773" s="2" t="n"/>
      <c r="B773" s="2" t="n"/>
      <c r="C773" s="2" t="n"/>
      <c r="D773" s="2" t="n"/>
      <c r="E773" s="2" t="n"/>
      <c r="F773" s="2" t="n"/>
    </row>
    <row r="774" ht="15.75" customHeight="1" s="38">
      <c r="A774" s="2" t="n"/>
      <c r="B774" s="2" t="n"/>
      <c r="C774" s="2" t="n"/>
      <c r="D774" s="2" t="n"/>
      <c r="E774" s="2" t="n"/>
      <c r="F774" s="2" t="n"/>
    </row>
    <row r="775" ht="15.75" customHeight="1" s="38">
      <c r="A775" s="2" t="n"/>
      <c r="B775" s="2" t="n"/>
      <c r="C775" s="2" t="n"/>
      <c r="D775" s="2" t="n"/>
      <c r="E775" s="2" t="n"/>
      <c r="F775" s="2" t="n"/>
    </row>
    <row r="776" ht="15.75" customHeight="1" s="38">
      <c r="A776" s="2" t="n"/>
      <c r="B776" s="2" t="n"/>
      <c r="C776" s="2" t="n"/>
      <c r="D776" s="2" t="n"/>
      <c r="E776" s="2" t="n"/>
      <c r="F776" s="2" t="n"/>
    </row>
    <row r="777" ht="15.75" customHeight="1" s="38">
      <c r="A777" s="2" t="n"/>
      <c r="B777" s="2" t="n"/>
      <c r="C777" s="2" t="n"/>
      <c r="D777" s="2" t="n"/>
      <c r="E777" s="2" t="n"/>
      <c r="F777" s="2" t="n"/>
    </row>
    <row r="778" ht="15.75" customHeight="1" s="38">
      <c r="A778" s="2" t="n"/>
      <c r="B778" s="2" t="n"/>
      <c r="C778" s="2" t="n"/>
      <c r="D778" s="2" t="n"/>
      <c r="E778" s="2" t="n"/>
      <c r="F778" s="2" t="n"/>
    </row>
    <row r="779" ht="15.75" customHeight="1" s="38">
      <c r="A779" s="2" t="n"/>
      <c r="B779" s="2" t="n"/>
      <c r="C779" s="2" t="n"/>
      <c r="D779" s="2" t="n"/>
      <c r="E779" s="2" t="n"/>
      <c r="F779" s="2" t="n"/>
    </row>
    <row r="780" ht="15.75" customHeight="1" s="38">
      <c r="A780" s="2" t="n"/>
      <c r="B780" s="2" t="n"/>
      <c r="C780" s="2" t="n"/>
      <c r="D780" s="2" t="n"/>
      <c r="E780" s="2" t="n"/>
      <c r="F780" s="2" t="n"/>
    </row>
    <row r="781" ht="15.75" customHeight="1" s="38">
      <c r="A781" s="2" t="n"/>
      <c r="B781" s="2" t="n"/>
      <c r="C781" s="2" t="n"/>
      <c r="D781" s="2" t="n"/>
      <c r="E781" s="2" t="n"/>
      <c r="F781" s="2" t="n"/>
    </row>
    <row r="782" ht="15.75" customHeight="1" s="38">
      <c r="A782" s="2" t="n"/>
      <c r="B782" s="2" t="n"/>
      <c r="C782" s="2" t="n"/>
      <c r="D782" s="2" t="n"/>
      <c r="E782" s="2" t="n"/>
      <c r="F782" s="2" t="n"/>
    </row>
    <row r="783" ht="15.75" customHeight="1" s="38">
      <c r="A783" s="2" t="n"/>
      <c r="B783" s="2" t="n"/>
      <c r="C783" s="2" t="n"/>
      <c r="D783" s="2" t="n"/>
      <c r="E783" s="2" t="n"/>
      <c r="F783" s="2" t="n"/>
    </row>
    <row r="784" ht="15.75" customHeight="1" s="38">
      <c r="A784" s="2" t="n"/>
      <c r="B784" s="2" t="n"/>
      <c r="C784" s="2" t="n"/>
      <c r="D784" s="2" t="n"/>
      <c r="E784" s="2" t="n"/>
      <c r="F784" s="2" t="n"/>
    </row>
    <row r="785" ht="15.75" customHeight="1" s="38">
      <c r="A785" s="2" t="n"/>
      <c r="B785" s="2" t="n"/>
      <c r="C785" s="2" t="n"/>
      <c r="D785" s="2" t="n"/>
      <c r="E785" s="2" t="n"/>
      <c r="F785" s="2" t="n"/>
    </row>
    <row r="786" ht="15.75" customHeight="1" s="38">
      <c r="A786" s="2" t="n"/>
      <c r="B786" s="2" t="n"/>
      <c r="C786" s="2" t="n"/>
      <c r="D786" s="2" t="n"/>
      <c r="E786" s="2" t="n"/>
      <c r="F786" s="2" t="n"/>
    </row>
    <row r="787" ht="15.75" customHeight="1" s="38">
      <c r="A787" s="2" t="n"/>
      <c r="B787" s="2" t="n"/>
      <c r="C787" s="2" t="n"/>
      <c r="D787" s="2" t="n"/>
      <c r="E787" s="2" t="n"/>
      <c r="F787" s="2" t="n"/>
    </row>
    <row r="788" ht="15.75" customHeight="1" s="38">
      <c r="A788" s="2" t="n"/>
      <c r="B788" s="2" t="n"/>
      <c r="C788" s="2" t="n"/>
      <c r="D788" s="2" t="n"/>
      <c r="E788" s="2" t="n"/>
      <c r="F788" s="2" t="n"/>
    </row>
    <row r="789" ht="15.75" customHeight="1" s="38">
      <c r="A789" s="2" t="n"/>
      <c r="B789" s="2" t="n"/>
      <c r="C789" s="2" t="n"/>
      <c r="D789" s="2" t="n"/>
      <c r="E789" s="2" t="n"/>
      <c r="F789" s="2" t="n"/>
    </row>
    <row r="790" ht="15.75" customHeight="1" s="38">
      <c r="A790" s="2" t="n"/>
      <c r="B790" s="2" t="n"/>
      <c r="C790" s="2" t="n"/>
      <c r="D790" s="2" t="n"/>
      <c r="E790" s="2" t="n"/>
      <c r="F790" s="2" t="n"/>
    </row>
    <row r="791" ht="15.75" customHeight="1" s="38">
      <c r="A791" s="2" t="n"/>
      <c r="B791" s="2" t="n"/>
      <c r="C791" s="2" t="n"/>
      <c r="D791" s="2" t="n"/>
      <c r="E791" s="2" t="n"/>
      <c r="F791" s="2" t="n"/>
    </row>
    <row r="792" ht="15.75" customHeight="1" s="38">
      <c r="A792" s="2" t="n"/>
      <c r="B792" s="2" t="n"/>
      <c r="C792" s="2" t="n"/>
      <c r="D792" s="2" t="n"/>
      <c r="E792" s="2" t="n"/>
      <c r="F792" s="2" t="n"/>
    </row>
    <row r="793" ht="15.75" customHeight="1" s="38">
      <c r="A793" s="2" t="n"/>
      <c r="B793" s="2" t="n"/>
      <c r="C793" s="2" t="n"/>
      <c r="D793" s="2" t="n"/>
      <c r="E793" s="2" t="n"/>
      <c r="F793" s="2" t="n"/>
    </row>
    <row r="794" ht="15.75" customHeight="1" s="38">
      <c r="A794" s="2" t="n"/>
      <c r="B794" s="2" t="n"/>
      <c r="C794" s="2" t="n"/>
      <c r="D794" s="2" t="n"/>
      <c r="E794" s="2" t="n"/>
      <c r="F794" s="2" t="n"/>
    </row>
    <row r="795" ht="15.75" customHeight="1" s="38">
      <c r="A795" s="2" t="n"/>
      <c r="B795" s="2" t="n"/>
      <c r="C795" s="2" t="n"/>
      <c r="D795" s="2" t="n"/>
      <c r="E795" s="2" t="n"/>
      <c r="F795" s="2" t="n"/>
    </row>
    <row r="796" ht="15.75" customHeight="1" s="38">
      <c r="A796" s="2" t="n"/>
      <c r="B796" s="2" t="n"/>
      <c r="C796" s="2" t="n"/>
      <c r="D796" s="2" t="n"/>
      <c r="E796" s="2" t="n"/>
      <c r="F796" s="2" t="n"/>
    </row>
    <row r="797" ht="15.75" customHeight="1" s="38">
      <c r="A797" s="2" t="n"/>
      <c r="B797" s="2" t="n"/>
      <c r="C797" s="2" t="n"/>
      <c r="D797" s="2" t="n"/>
      <c r="E797" s="2" t="n"/>
      <c r="F797" s="2" t="n"/>
    </row>
    <row r="798" ht="15.75" customHeight="1" s="38">
      <c r="A798" s="2" t="n"/>
      <c r="B798" s="2" t="n"/>
      <c r="C798" s="2" t="n"/>
      <c r="D798" s="2" t="n"/>
      <c r="E798" s="2" t="n"/>
      <c r="F798" s="2" t="n"/>
    </row>
    <row r="799" ht="15.75" customHeight="1" s="38">
      <c r="A799" s="2" t="n"/>
      <c r="B799" s="2" t="n"/>
      <c r="C799" s="2" t="n"/>
      <c r="D799" s="2" t="n"/>
      <c r="E799" s="2" t="n"/>
      <c r="F799" s="2" t="n"/>
    </row>
    <row r="800" ht="15.75" customHeight="1" s="38">
      <c r="A800" s="2" t="n"/>
      <c r="B800" s="2" t="n"/>
      <c r="C800" s="2" t="n"/>
      <c r="D800" s="2" t="n"/>
      <c r="E800" s="2" t="n"/>
      <c r="F800" s="2" t="n"/>
    </row>
    <row r="801" ht="15.75" customHeight="1" s="38">
      <c r="A801" s="2" t="n"/>
      <c r="B801" s="2" t="n"/>
      <c r="C801" s="2" t="n"/>
      <c r="D801" s="2" t="n"/>
      <c r="E801" s="2" t="n"/>
      <c r="F801" s="2" t="n"/>
    </row>
    <row r="802" ht="15.75" customHeight="1" s="38">
      <c r="A802" s="2" t="n"/>
      <c r="B802" s="2" t="n"/>
      <c r="C802" s="2" t="n"/>
      <c r="D802" s="2" t="n"/>
      <c r="E802" s="2" t="n"/>
      <c r="F802" s="2" t="n"/>
    </row>
    <row r="803" ht="15.75" customHeight="1" s="38">
      <c r="A803" s="2" t="n"/>
      <c r="B803" s="2" t="n"/>
      <c r="C803" s="2" t="n"/>
      <c r="D803" s="2" t="n"/>
      <c r="E803" s="2" t="n"/>
      <c r="F803" s="2" t="n"/>
    </row>
    <row r="804" ht="15.75" customHeight="1" s="38">
      <c r="A804" s="2" t="n"/>
      <c r="B804" s="2" t="n"/>
      <c r="C804" s="2" t="n"/>
      <c r="D804" s="2" t="n"/>
      <c r="E804" s="2" t="n"/>
      <c r="F804" s="2" t="n"/>
    </row>
    <row r="805" ht="15.75" customHeight="1" s="38">
      <c r="A805" s="2" t="n"/>
      <c r="B805" s="2" t="n"/>
      <c r="C805" s="2" t="n"/>
      <c r="D805" s="2" t="n"/>
      <c r="E805" s="2" t="n"/>
      <c r="F805" s="2" t="n"/>
    </row>
    <row r="806" ht="15.75" customHeight="1" s="38">
      <c r="A806" s="2" t="n"/>
      <c r="B806" s="2" t="n"/>
      <c r="C806" s="2" t="n"/>
      <c r="D806" s="2" t="n"/>
      <c r="E806" s="2" t="n"/>
      <c r="F806" s="2" t="n"/>
    </row>
    <row r="807" ht="15.75" customHeight="1" s="38">
      <c r="A807" s="2" t="n"/>
      <c r="B807" s="2" t="n"/>
      <c r="C807" s="2" t="n"/>
      <c r="D807" s="2" t="n"/>
      <c r="E807" s="2" t="n"/>
      <c r="F807" s="2" t="n"/>
    </row>
    <row r="808" ht="15.75" customHeight="1" s="38">
      <c r="A808" s="2" t="n"/>
      <c r="B808" s="2" t="n"/>
      <c r="C808" s="2" t="n"/>
      <c r="D808" s="2" t="n"/>
      <c r="E808" s="2" t="n"/>
      <c r="F808" s="2" t="n"/>
    </row>
    <row r="809" ht="15.75" customHeight="1" s="38">
      <c r="A809" s="2" t="n"/>
      <c r="B809" s="2" t="n"/>
      <c r="C809" s="2" t="n"/>
      <c r="D809" s="2" t="n"/>
      <c r="E809" s="2" t="n"/>
      <c r="F809" s="2" t="n"/>
    </row>
    <row r="810" ht="15.75" customHeight="1" s="38">
      <c r="A810" s="2" t="n"/>
      <c r="B810" s="2" t="n"/>
      <c r="C810" s="2" t="n"/>
      <c r="D810" s="2" t="n"/>
      <c r="E810" s="2" t="n"/>
      <c r="F810" s="2" t="n"/>
    </row>
    <row r="811" ht="15.75" customHeight="1" s="38">
      <c r="A811" s="2" t="n"/>
      <c r="B811" s="2" t="n"/>
      <c r="C811" s="2" t="n"/>
      <c r="D811" s="2" t="n"/>
      <c r="E811" s="2" t="n"/>
      <c r="F811" s="2" t="n"/>
    </row>
    <row r="812" ht="15.75" customHeight="1" s="38">
      <c r="A812" s="2" t="n"/>
      <c r="B812" s="2" t="n"/>
      <c r="C812" s="2" t="n"/>
      <c r="D812" s="2" t="n"/>
      <c r="E812" s="2" t="n"/>
      <c r="F812" s="2" t="n"/>
    </row>
    <row r="813" ht="15.75" customHeight="1" s="38">
      <c r="A813" s="2" t="n"/>
      <c r="B813" s="2" t="n"/>
      <c r="C813" s="2" t="n"/>
      <c r="D813" s="2" t="n"/>
      <c r="E813" s="2" t="n"/>
      <c r="F813" s="2" t="n"/>
    </row>
    <row r="814" ht="15.75" customHeight="1" s="38">
      <c r="A814" s="2" t="n"/>
      <c r="B814" s="2" t="n"/>
      <c r="C814" s="2" t="n"/>
      <c r="D814" s="2" t="n"/>
      <c r="E814" s="2" t="n"/>
      <c r="F814" s="2" t="n"/>
    </row>
    <row r="815" ht="15.75" customHeight="1" s="38">
      <c r="A815" s="2" t="n"/>
      <c r="B815" s="2" t="n"/>
      <c r="C815" s="2" t="n"/>
      <c r="D815" s="2" t="n"/>
      <c r="E815" s="2" t="n"/>
      <c r="F815" s="2" t="n"/>
    </row>
    <row r="816" ht="15.75" customHeight="1" s="38">
      <c r="A816" s="2" t="n"/>
      <c r="B816" s="2" t="n"/>
      <c r="C816" s="2" t="n"/>
      <c r="D816" s="2" t="n"/>
      <c r="E816" s="2" t="n"/>
      <c r="F816" s="2" t="n"/>
    </row>
    <row r="817" ht="15.75" customHeight="1" s="38">
      <c r="A817" s="2" t="n"/>
      <c r="B817" s="2" t="n"/>
      <c r="C817" s="2" t="n"/>
      <c r="D817" s="2" t="n"/>
      <c r="E817" s="2" t="n"/>
      <c r="F817" s="2" t="n"/>
    </row>
    <row r="818" ht="15.75" customHeight="1" s="38">
      <c r="A818" s="2" t="n"/>
      <c r="B818" s="2" t="n"/>
      <c r="C818" s="2" t="n"/>
      <c r="D818" s="2" t="n"/>
      <c r="E818" s="2" t="n"/>
      <c r="F818" s="2" t="n"/>
    </row>
    <row r="819" ht="15.75" customHeight="1" s="38">
      <c r="A819" s="2" t="n"/>
      <c r="B819" s="2" t="n"/>
      <c r="C819" s="2" t="n"/>
      <c r="D819" s="2" t="n"/>
      <c r="E819" s="2" t="n"/>
      <c r="F819" s="2" t="n"/>
    </row>
    <row r="820" ht="15.75" customHeight="1" s="38">
      <c r="A820" s="2" t="n"/>
      <c r="B820" s="2" t="n"/>
      <c r="C820" s="2" t="n"/>
      <c r="D820" s="2" t="n"/>
      <c r="E820" s="2" t="n"/>
      <c r="F820" s="2" t="n"/>
    </row>
    <row r="821" ht="15.75" customHeight="1" s="38">
      <c r="A821" s="2" t="n"/>
      <c r="B821" s="2" t="n"/>
      <c r="C821" s="2" t="n"/>
      <c r="D821" s="2" t="n"/>
      <c r="E821" s="2" t="n"/>
      <c r="F821" s="2" t="n"/>
    </row>
    <row r="822" ht="15.75" customHeight="1" s="38">
      <c r="A822" s="2" t="n"/>
      <c r="B822" s="2" t="n"/>
      <c r="C822" s="2" t="n"/>
      <c r="D822" s="2" t="n"/>
      <c r="E822" s="2" t="n"/>
      <c r="F822" s="2" t="n"/>
    </row>
    <row r="823" ht="15.75" customHeight="1" s="38">
      <c r="A823" s="2" t="n"/>
      <c r="B823" s="2" t="n"/>
      <c r="C823" s="2" t="n"/>
      <c r="D823" s="2" t="n"/>
      <c r="E823" s="2" t="n"/>
      <c r="F823" s="2" t="n"/>
    </row>
    <row r="824" ht="15.75" customHeight="1" s="38">
      <c r="A824" s="2" t="n"/>
      <c r="B824" s="2" t="n"/>
      <c r="C824" s="2" t="n"/>
      <c r="D824" s="2" t="n"/>
      <c r="E824" s="2" t="n"/>
      <c r="F824" s="2" t="n"/>
    </row>
    <row r="825" ht="15.75" customHeight="1" s="38">
      <c r="A825" s="2" t="n"/>
      <c r="B825" s="2" t="n"/>
      <c r="C825" s="2" t="n"/>
      <c r="D825" s="2" t="n"/>
      <c r="E825" s="2" t="n"/>
      <c r="F825" s="2" t="n"/>
    </row>
    <row r="826" ht="15.75" customHeight="1" s="38">
      <c r="A826" s="2" t="n"/>
      <c r="B826" s="2" t="n"/>
      <c r="C826" s="2" t="n"/>
      <c r="D826" s="2" t="n"/>
      <c r="E826" s="2" t="n"/>
      <c r="F826" s="2" t="n"/>
    </row>
    <row r="827" ht="15.75" customHeight="1" s="38">
      <c r="A827" s="2" t="n"/>
      <c r="B827" s="2" t="n"/>
      <c r="C827" s="2" t="n"/>
      <c r="D827" s="2" t="n"/>
      <c r="E827" s="2" t="n"/>
      <c r="F827" s="2" t="n"/>
    </row>
    <row r="828" ht="15.75" customHeight="1" s="38">
      <c r="A828" s="2" t="n"/>
      <c r="B828" s="2" t="n"/>
      <c r="C828" s="2" t="n"/>
      <c r="D828" s="2" t="n"/>
      <c r="E828" s="2" t="n"/>
      <c r="F828" s="2" t="n"/>
    </row>
    <row r="829" ht="15.75" customHeight="1" s="38">
      <c r="A829" s="2" t="n"/>
      <c r="B829" s="2" t="n"/>
      <c r="C829" s="2" t="n"/>
      <c r="D829" s="2" t="n"/>
      <c r="E829" s="2" t="n"/>
      <c r="F829" s="2" t="n"/>
    </row>
    <row r="830" ht="15.75" customHeight="1" s="38">
      <c r="A830" s="2" t="n"/>
      <c r="B830" s="2" t="n"/>
      <c r="C830" s="2" t="n"/>
      <c r="D830" s="2" t="n"/>
      <c r="E830" s="2" t="n"/>
      <c r="F830" s="2" t="n"/>
    </row>
    <row r="831" ht="15.75" customHeight="1" s="38">
      <c r="A831" s="2" t="n"/>
      <c r="B831" s="2" t="n"/>
      <c r="C831" s="2" t="n"/>
      <c r="D831" s="2" t="n"/>
      <c r="E831" s="2" t="n"/>
      <c r="F831" s="2" t="n"/>
    </row>
    <row r="832" ht="15.75" customHeight="1" s="38">
      <c r="A832" s="2" t="n"/>
      <c r="B832" s="2" t="n"/>
      <c r="C832" s="2" t="n"/>
      <c r="D832" s="2" t="n"/>
      <c r="E832" s="2" t="n"/>
      <c r="F832" s="2" t="n"/>
    </row>
    <row r="833" ht="15.75" customHeight="1" s="38">
      <c r="A833" s="2" t="n"/>
      <c r="B833" s="2" t="n"/>
      <c r="C833" s="2" t="n"/>
      <c r="D833" s="2" t="n"/>
      <c r="E833" s="2" t="n"/>
      <c r="F833" s="2" t="n"/>
    </row>
    <row r="834" ht="15.75" customHeight="1" s="38">
      <c r="A834" s="2" t="n"/>
      <c r="B834" s="2" t="n"/>
      <c r="C834" s="2" t="n"/>
      <c r="D834" s="2" t="n"/>
      <c r="E834" s="2" t="n"/>
      <c r="F834" s="2" t="n"/>
    </row>
    <row r="835" ht="15.75" customHeight="1" s="38">
      <c r="A835" s="2" t="n"/>
      <c r="B835" s="2" t="n"/>
      <c r="C835" s="2" t="n"/>
      <c r="D835" s="2" t="n"/>
      <c r="E835" s="2" t="n"/>
      <c r="F835" s="2" t="n"/>
    </row>
    <row r="836" ht="15.75" customHeight="1" s="38">
      <c r="A836" s="2" t="n"/>
      <c r="B836" s="2" t="n"/>
      <c r="C836" s="2" t="n"/>
      <c r="D836" s="2" t="n"/>
      <c r="E836" s="2" t="n"/>
      <c r="F836" s="2" t="n"/>
    </row>
    <row r="837" ht="15.75" customHeight="1" s="38">
      <c r="A837" s="2" t="n"/>
      <c r="B837" s="2" t="n"/>
      <c r="C837" s="2" t="n"/>
      <c r="D837" s="2" t="n"/>
      <c r="E837" s="2" t="n"/>
      <c r="F837" s="2" t="n"/>
    </row>
    <row r="838" ht="15.75" customHeight="1" s="38">
      <c r="A838" s="2" t="n"/>
      <c r="B838" s="2" t="n"/>
      <c r="C838" s="2" t="n"/>
      <c r="D838" s="2" t="n"/>
      <c r="E838" s="2" t="n"/>
      <c r="F838" s="2" t="n"/>
    </row>
    <row r="839" ht="15.75" customHeight="1" s="38">
      <c r="A839" s="2" t="n"/>
      <c r="B839" s="2" t="n"/>
      <c r="C839" s="2" t="n"/>
      <c r="D839" s="2" t="n"/>
      <c r="E839" s="2" t="n"/>
      <c r="F839" s="2" t="n"/>
    </row>
    <row r="840" ht="15.75" customHeight="1" s="38">
      <c r="A840" s="2" t="n"/>
      <c r="B840" s="2" t="n"/>
      <c r="C840" s="2" t="n"/>
      <c r="D840" s="2" t="n"/>
      <c r="E840" s="2" t="n"/>
      <c r="F840" s="2" t="n"/>
    </row>
    <row r="841" ht="15.75" customHeight="1" s="38">
      <c r="A841" s="2" t="n"/>
      <c r="B841" s="2" t="n"/>
      <c r="C841" s="2" t="n"/>
      <c r="D841" s="2" t="n"/>
      <c r="E841" s="2" t="n"/>
      <c r="F841" s="2" t="n"/>
    </row>
    <row r="842" ht="15.75" customHeight="1" s="38">
      <c r="A842" s="2" t="n"/>
      <c r="B842" s="2" t="n"/>
      <c r="C842" s="2" t="n"/>
      <c r="D842" s="2" t="n"/>
      <c r="E842" s="2" t="n"/>
      <c r="F842" s="2" t="n"/>
    </row>
    <row r="843" ht="15.75" customHeight="1" s="38">
      <c r="A843" s="2" t="n"/>
      <c r="B843" s="2" t="n"/>
      <c r="C843" s="2" t="n"/>
      <c r="D843" s="2" t="n"/>
      <c r="E843" s="2" t="n"/>
      <c r="F843" s="2" t="n"/>
    </row>
    <row r="844" ht="15.75" customHeight="1" s="38">
      <c r="A844" s="2" t="n"/>
      <c r="B844" s="2" t="n"/>
      <c r="C844" s="2" t="n"/>
      <c r="D844" s="2" t="n"/>
      <c r="E844" s="2" t="n"/>
      <c r="F844" s="2" t="n"/>
    </row>
    <row r="845" ht="15.75" customHeight="1" s="38">
      <c r="A845" s="2" t="n"/>
      <c r="B845" s="2" t="n"/>
      <c r="C845" s="2" t="n"/>
      <c r="D845" s="2" t="n"/>
      <c r="E845" s="2" t="n"/>
      <c r="F845" s="2" t="n"/>
    </row>
    <row r="846" ht="15.75" customHeight="1" s="38">
      <c r="A846" s="2" t="n"/>
      <c r="B846" s="2" t="n"/>
      <c r="C846" s="2" t="n"/>
      <c r="D846" s="2" t="n"/>
      <c r="E846" s="2" t="n"/>
      <c r="F846" s="2" t="n"/>
    </row>
    <row r="847" ht="15.75" customHeight="1" s="38">
      <c r="A847" s="2" t="n"/>
      <c r="B847" s="2" t="n"/>
      <c r="C847" s="2" t="n"/>
      <c r="D847" s="2" t="n"/>
      <c r="E847" s="2" t="n"/>
      <c r="F847" s="2" t="n"/>
    </row>
    <row r="848" ht="15.75" customHeight="1" s="38">
      <c r="A848" s="2" t="n"/>
      <c r="B848" s="2" t="n"/>
      <c r="C848" s="2" t="n"/>
      <c r="D848" s="2" t="n"/>
      <c r="E848" s="2" t="n"/>
      <c r="F848" s="2" t="n"/>
    </row>
    <row r="849" ht="15.75" customHeight="1" s="38">
      <c r="A849" s="2" t="n"/>
      <c r="B849" s="2" t="n"/>
      <c r="C849" s="2" t="n"/>
      <c r="D849" s="2" t="n"/>
      <c r="E849" s="2" t="n"/>
      <c r="F849" s="2" t="n"/>
    </row>
    <row r="850" ht="15.75" customHeight="1" s="38">
      <c r="A850" s="2" t="n"/>
      <c r="B850" s="2" t="n"/>
      <c r="C850" s="2" t="n"/>
      <c r="D850" s="2" t="n"/>
      <c r="E850" s="2" t="n"/>
      <c r="F850" s="2" t="n"/>
    </row>
    <row r="851" ht="15.75" customHeight="1" s="38">
      <c r="A851" s="2" t="n"/>
      <c r="B851" s="2" t="n"/>
      <c r="C851" s="2" t="n"/>
      <c r="D851" s="2" t="n"/>
      <c r="E851" s="2" t="n"/>
      <c r="F851" s="2" t="n"/>
    </row>
    <row r="852" ht="15.75" customHeight="1" s="38">
      <c r="A852" s="2" t="n"/>
      <c r="B852" s="2" t="n"/>
      <c r="C852" s="2" t="n"/>
      <c r="D852" s="2" t="n"/>
      <c r="E852" s="2" t="n"/>
      <c r="F852" s="2" t="n"/>
    </row>
    <row r="853" ht="15.75" customHeight="1" s="38">
      <c r="A853" s="2" t="n"/>
      <c r="B853" s="2" t="n"/>
      <c r="C853" s="2" t="n"/>
      <c r="D853" s="2" t="n"/>
      <c r="E853" s="2" t="n"/>
      <c r="F853" s="2" t="n"/>
    </row>
    <row r="854" ht="15.75" customHeight="1" s="38">
      <c r="A854" s="2" t="n"/>
      <c r="B854" s="2" t="n"/>
      <c r="C854" s="2" t="n"/>
      <c r="D854" s="2" t="n"/>
      <c r="E854" s="2" t="n"/>
      <c r="F854" s="2" t="n"/>
    </row>
    <row r="855" ht="15.75" customHeight="1" s="38">
      <c r="A855" s="2" t="n"/>
      <c r="B855" s="2" t="n"/>
      <c r="C855" s="2" t="n"/>
      <c r="D855" s="2" t="n"/>
      <c r="E855" s="2" t="n"/>
      <c r="F855" s="2" t="n"/>
    </row>
    <row r="856" ht="15.75" customHeight="1" s="38">
      <c r="A856" s="2" t="n"/>
      <c r="B856" s="2" t="n"/>
      <c r="C856" s="2" t="n"/>
      <c r="D856" s="2" t="n"/>
      <c r="E856" s="2" t="n"/>
      <c r="F856" s="2" t="n"/>
    </row>
    <row r="857" ht="15.75" customHeight="1" s="38">
      <c r="A857" s="2" t="n"/>
      <c r="B857" s="2" t="n"/>
      <c r="C857" s="2" t="n"/>
      <c r="D857" s="2" t="n"/>
      <c r="E857" s="2" t="n"/>
      <c r="F857" s="2" t="n"/>
    </row>
    <row r="858" ht="15.75" customHeight="1" s="38">
      <c r="A858" s="2" t="n"/>
      <c r="B858" s="2" t="n"/>
      <c r="C858" s="2" t="n"/>
      <c r="D858" s="2" t="n"/>
      <c r="E858" s="2" t="n"/>
      <c r="F858" s="2" t="n"/>
    </row>
    <row r="859" ht="15.75" customHeight="1" s="38">
      <c r="A859" s="2" t="n"/>
      <c r="B859" s="2" t="n"/>
      <c r="C859" s="2" t="n"/>
      <c r="D859" s="2" t="n"/>
      <c r="E859" s="2" t="n"/>
      <c r="F859" s="2" t="n"/>
    </row>
    <row r="860" ht="15.75" customHeight="1" s="38">
      <c r="A860" s="2" t="n"/>
      <c r="B860" s="2" t="n"/>
      <c r="C860" s="2" t="n"/>
      <c r="D860" s="2" t="n"/>
      <c r="E860" s="2" t="n"/>
      <c r="F860" s="2" t="n"/>
    </row>
    <row r="861" ht="15.75" customHeight="1" s="38">
      <c r="A861" s="2" t="n"/>
      <c r="B861" s="2" t="n"/>
      <c r="C861" s="2" t="n"/>
      <c r="D861" s="2" t="n"/>
      <c r="E861" s="2" t="n"/>
      <c r="F861" s="2" t="n"/>
    </row>
    <row r="862" ht="15.75" customHeight="1" s="38">
      <c r="A862" s="2" t="n"/>
      <c r="B862" s="2" t="n"/>
      <c r="C862" s="2" t="n"/>
      <c r="D862" s="2" t="n"/>
      <c r="E862" s="2" t="n"/>
      <c r="F862" s="2" t="n"/>
    </row>
    <row r="863" ht="15.75" customHeight="1" s="38">
      <c r="A863" s="2" t="n"/>
      <c r="B863" s="2" t="n"/>
      <c r="C863" s="2" t="n"/>
      <c r="D863" s="2" t="n"/>
      <c r="E863" s="2" t="n"/>
      <c r="F863" s="2" t="n"/>
    </row>
    <row r="864" ht="15.75" customHeight="1" s="38">
      <c r="A864" s="2" t="n"/>
      <c r="B864" s="2" t="n"/>
      <c r="C864" s="2" t="n"/>
      <c r="D864" s="2" t="n"/>
      <c r="E864" s="2" t="n"/>
      <c r="F864" s="2" t="n"/>
    </row>
    <row r="865" ht="15.75" customHeight="1" s="38">
      <c r="A865" s="2" t="n"/>
      <c r="B865" s="2" t="n"/>
      <c r="C865" s="2" t="n"/>
      <c r="D865" s="2" t="n"/>
      <c r="E865" s="2" t="n"/>
      <c r="F865" s="2" t="n"/>
    </row>
    <row r="866" ht="15.75" customHeight="1" s="38">
      <c r="A866" s="2" t="n"/>
      <c r="B866" s="2" t="n"/>
      <c r="C866" s="2" t="n"/>
      <c r="D866" s="2" t="n"/>
      <c r="E866" s="2" t="n"/>
      <c r="F866" s="2" t="n"/>
    </row>
    <row r="867" ht="15.75" customHeight="1" s="38">
      <c r="A867" s="2" t="n"/>
      <c r="B867" s="2" t="n"/>
      <c r="C867" s="2" t="n"/>
      <c r="D867" s="2" t="n"/>
      <c r="E867" s="2" t="n"/>
      <c r="F867" s="2" t="n"/>
    </row>
    <row r="868" ht="15.75" customHeight="1" s="38">
      <c r="A868" s="2" t="n"/>
      <c r="B868" s="2" t="n"/>
      <c r="C868" s="2" t="n"/>
      <c r="D868" s="2" t="n"/>
      <c r="E868" s="2" t="n"/>
      <c r="F868" s="2" t="n"/>
    </row>
    <row r="869" ht="15.75" customHeight="1" s="38">
      <c r="A869" s="2" t="n"/>
      <c r="B869" s="2" t="n"/>
      <c r="C869" s="2" t="n"/>
      <c r="D869" s="2" t="n"/>
      <c r="E869" s="2" t="n"/>
      <c r="F869" s="2" t="n"/>
    </row>
    <row r="870" ht="15.75" customHeight="1" s="38">
      <c r="A870" s="2" t="n"/>
      <c r="B870" s="2" t="n"/>
      <c r="C870" s="2" t="n"/>
      <c r="D870" s="2" t="n"/>
      <c r="E870" s="2" t="n"/>
      <c r="F870" s="2" t="n"/>
    </row>
    <row r="871" ht="15.75" customHeight="1" s="38">
      <c r="A871" s="2" t="n"/>
      <c r="B871" s="2" t="n"/>
      <c r="C871" s="2" t="n"/>
      <c r="D871" s="2" t="n"/>
      <c r="E871" s="2" t="n"/>
      <c r="F871" s="2" t="n"/>
    </row>
    <row r="872" ht="15.75" customHeight="1" s="38">
      <c r="A872" s="2" t="n"/>
      <c r="B872" s="2" t="n"/>
      <c r="C872" s="2" t="n"/>
      <c r="D872" s="2" t="n"/>
      <c r="E872" s="2" t="n"/>
      <c r="F872" s="2" t="n"/>
    </row>
    <row r="873" ht="15.75" customHeight="1" s="38">
      <c r="A873" s="2" t="n"/>
      <c r="B873" s="2" t="n"/>
      <c r="C873" s="2" t="n"/>
      <c r="D873" s="2" t="n"/>
      <c r="E873" s="2" t="n"/>
      <c r="F873" s="2" t="n"/>
    </row>
    <row r="874" ht="15.75" customHeight="1" s="38">
      <c r="A874" s="2" t="n"/>
      <c r="B874" s="2" t="n"/>
      <c r="C874" s="2" t="n"/>
      <c r="D874" s="2" t="n"/>
      <c r="E874" s="2" t="n"/>
      <c r="F874" s="2" t="n"/>
    </row>
    <row r="875" ht="15.75" customHeight="1" s="38">
      <c r="A875" s="2" t="n"/>
      <c r="B875" s="2" t="n"/>
      <c r="C875" s="2" t="n"/>
      <c r="D875" s="2" t="n"/>
      <c r="E875" s="2" t="n"/>
      <c r="F875" s="2" t="n"/>
    </row>
    <row r="876" ht="15.75" customHeight="1" s="38">
      <c r="A876" s="2" t="n"/>
      <c r="B876" s="2" t="n"/>
      <c r="C876" s="2" t="n"/>
      <c r="D876" s="2" t="n"/>
      <c r="E876" s="2" t="n"/>
      <c r="F876" s="2" t="n"/>
    </row>
    <row r="877" ht="15.75" customHeight="1" s="38">
      <c r="A877" s="2" t="n"/>
      <c r="B877" s="2" t="n"/>
      <c r="C877" s="2" t="n"/>
      <c r="D877" s="2" t="n"/>
      <c r="E877" s="2" t="n"/>
      <c r="F877" s="2" t="n"/>
    </row>
    <row r="878" ht="15.75" customHeight="1" s="38">
      <c r="A878" s="2" t="n"/>
      <c r="B878" s="2" t="n"/>
      <c r="C878" s="2" t="n"/>
      <c r="D878" s="2" t="n"/>
      <c r="E878" s="2" t="n"/>
      <c r="F878" s="2" t="n"/>
    </row>
    <row r="879" ht="15.75" customHeight="1" s="38">
      <c r="A879" s="2" t="n"/>
      <c r="B879" s="2" t="n"/>
      <c r="C879" s="2" t="n"/>
      <c r="D879" s="2" t="n"/>
      <c r="E879" s="2" t="n"/>
      <c r="F879" s="2" t="n"/>
    </row>
    <row r="880" ht="15.75" customHeight="1" s="38">
      <c r="A880" s="2" t="n"/>
      <c r="B880" s="2" t="n"/>
      <c r="C880" s="2" t="n"/>
      <c r="D880" s="2" t="n"/>
      <c r="E880" s="2" t="n"/>
      <c r="F880" s="2" t="n"/>
    </row>
    <row r="881" ht="15.75" customHeight="1" s="38">
      <c r="A881" s="2" t="n"/>
      <c r="B881" s="2" t="n"/>
      <c r="C881" s="2" t="n"/>
      <c r="D881" s="2" t="n"/>
      <c r="E881" s="2" t="n"/>
      <c r="F881" s="2" t="n"/>
    </row>
    <row r="882" ht="15.75" customHeight="1" s="38">
      <c r="A882" s="2" t="n"/>
      <c r="B882" s="2" t="n"/>
      <c r="C882" s="2" t="n"/>
      <c r="D882" s="2" t="n"/>
      <c r="E882" s="2" t="n"/>
      <c r="F882" s="2" t="n"/>
    </row>
    <row r="883" ht="15.75" customHeight="1" s="38">
      <c r="A883" s="2" t="n"/>
      <c r="B883" s="2" t="n"/>
      <c r="C883" s="2" t="n"/>
      <c r="D883" s="2" t="n"/>
      <c r="E883" s="2" t="n"/>
      <c r="F883" s="2" t="n"/>
    </row>
    <row r="884" ht="15.75" customHeight="1" s="38">
      <c r="A884" s="2" t="n"/>
      <c r="B884" s="2" t="n"/>
      <c r="C884" s="2" t="n"/>
      <c r="D884" s="2" t="n"/>
      <c r="E884" s="2" t="n"/>
      <c r="F884" s="2" t="n"/>
    </row>
    <row r="885" ht="15.75" customHeight="1" s="38">
      <c r="A885" s="2" t="n"/>
      <c r="B885" s="2" t="n"/>
      <c r="C885" s="2" t="n"/>
      <c r="D885" s="2" t="n"/>
      <c r="E885" s="2" t="n"/>
      <c r="F885" s="2" t="n"/>
    </row>
    <row r="886" ht="15.75" customHeight="1" s="38">
      <c r="A886" s="2" t="n"/>
      <c r="B886" s="2" t="n"/>
      <c r="C886" s="2" t="n"/>
      <c r="D886" s="2" t="n"/>
      <c r="E886" s="2" t="n"/>
      <c r="F886" s="2" t="n"/>
    </row>
    <row r="887" ht="15.75" customHeight="1" s="38">
      <c r="A887" s="2" t="n"/>
      <c r="B887" s="2" t="n"/>
      <c r="C887" s="2" t="n"/>
      <c r="D887" s="2" t="n"/>
      <c r="E887" s="2" t="n"/>
      <c r="F887" s="2" t="n"/>
    </row>
    <row r="888" ht="15.75" customHeight="1" s="38">
      <c r="A888" s="2" t="n"/>
      <c r="B888" s="2" t="n"/>
      <c r="C888" s="2" t="n"/>
      <c r="D888" s="2" t="n"/>
      <c r="E888" s="2" t="n"/>
      <c r="F888" s="2" t="n"/>
    </row>
    <row r="889" ht="15.75" customHeight="1" s="38">
      <c r="A889" s="2" t="n"/>
      <c r="B889" s="2" t="n"/>
      <c r="C889" s="2" t="n"/>
      <c r="D889" s="2" t="n"/>
      <c r="E889" s="2" t="n"/>
      <c r="F889" s="2" t="n"/>
    </row>
    <row r="890" ht="15.75" customHeight="1" s="38">
      <c r="A890" s="2" t="n"/>
      <c r="B890" s="2" t="n"/>
      <c r="C890" s="2" t="n"/>
      <c r="D890" s="2" t="n"/>
      <c r="E890" s="2" t="n"/>
      <c r="F890" s="2" t="n"/>
    </row>
    <row r="891" ht="15.75" customHeight="1" s="38">
      <c r="A891" s="2" t="n"/>
      <c r="B891" s="2" t="n"/>
      <c r="C891" s="2" t="n"/>
      <c r="D891" s="2" t="n"/>
      <c r="E891" s="2" t="n"/>
      <c r="F891" s="2" t="n"/>
    </row>
    <row r="892" ht="15.75" customHeight="1" s="38">
      <c r="A892" s="2" t="n"/>
      <c r="B892" s="2" t="n"/>
      <c r="C892" s="2" t="n"/>
      <c r="D892" s="2" t="n"/>
      <c r="E892" s="2" t="n"/>
      <c r="F892" s="2" t="n"/>
    </row>
    <row r="893" ht="15.75" customHeight="1" s="38">
      <c r="A893" s="2" t="n"/>
      <c r="B893" s="2" t="n"/>
      <c r="C893" s="2" t="n"/>
      <c r="D893" s="2" t="n"/>
      <c r="E893" s="2" t="n"/>
      <c r="F893" s="2" t="n"/>
    </row>
    <row r="894" ht="15.75" customHeight="1" s="38">
      <c r="A894" s="2" t="n"/>
      <c r="B894" s="2" t="n"/>
      <c r="C894" s="2" t="n"/>
      <c r="D894" s="2" t="n"/>
      <c r="E894" s="2" t="n"/>
      <c r="F894" s="2" t="n"/>
    </row>
    <row r="895" ht="15.75" customHeight="1" s="38">
      <c r="A895" s="2" t="n"/>
      <c r="B895" s="2" t="n"/>
      <c r="C895" s="2" t="n"/>
      <c r="D895" s="2" t="n"/>
      <c r="E895" s="2" t="n"/>
      <c r="F895" s="2" t="n"/>
    </row>
    <row r="896" ht="15.75" customHeight="1" s="38">
      <c r="A896" s="2" t="n"/>
      <c r="B896" s="2" t="n"/>
      <c r="C896" s="2" t="n"/>
      <c r="D896" s="2" t="n"/>
      <c r="E896" s="2" t="n"/>
      <c r="F896" s="2" t="n"/>
    </row>
    <row r="897" ht="15.75" customHeight="1" s="38">
      <c r="A897" s="2" t="n"/>
      <c r="B897" s="2" t="n"/>
      <c r="C897" s="2" t="n"/>
      <c r="D897" s="2" t="n"/>
      <c r="E897" s="2" t="n"/>
      <c r="F897" s="2" t="n"/>
    </row>
    <row r="898" ht="15.75" customHeight="1" s="38">
      <c r="A898" s="2" t="n"/>
      <c r="B898" s="2" t="n"/>
      <c r="C898" s="2" t="n"/>
      <c r="D898" s="2" t="n"/>
      <c r="E898" s="2" t="n"/>
      <c r="F898" s="2" t="n"/>
    </row>
    <row r="899" ht="15.75" customHeight="1" s="38">
      <c r="A899" s="2" t="n"/>
      <c r="B899" s="2" t="n"/>
      <c r="C899" s="2" t="n"/>
      <c r="D899" s="2" t="n"/>
      <c r="E899" s="2" t="n"/>
      <c r="F899" s="2" t="n"/>
    </row>
    <row r="900" ht="15.75" customHeight="1" s="38">
      <c r="A900" s="2" t="n"/>
      <c r="B900" s="2" t="n"/>
      <c r="C900" s="2" t="n"/>
      <c r="D900" s="2" t="n"/>
      <c r="E900" s="2" t="n"/>
      <c r="F900" s="2" t="n"/>
    </row>
    <row r="901" ht="15.75" customHeight="1" s="38">
      <c r="A901" s="2" t="n"/>
      <c r="B901" s="2" t="n"/>
      <c r="C901" s="2" t="n"/>
      <c r="D901" s="2" t="n"/>
      <c r="E901" s="2" t="n"/>
      <c r="F901" s="2" t="n"/>
    </row>
    <row r="902" ht="15.75" customHeight="1" s="38">
      <c r="A902" s="2" t="n"/>
      <c r="B902" s="2" t="n"/>
      <c r="C902" s="2" t="n"/>
      <c r="D902" s="2" t="n"/>
      <c r="E902" s="2" t="n"/>
      <c r="F902" s="2" t="n"/>
    </row>
    <row r="903" ht="15.75" customHeight="1" s="38">
      <c r="A903" s="2" t="n"/>
      <c r="B903" s="2" t="n"/>
      <c r="C903" s="2" t="n"/>
      <c r="D903" s="2" t="n"/>
      <c r="E903" s="2" t="n"/>
      <c r="F903" s="2" t="n"/>
    </row>
    <row r="904" ht="15.75" customHeight="1" s="38">
      <c r="A904" s="2" t="n"/>
      <c r="B904" s="2" t="n"/>
      <c r="C904" s="2" t="n"/>
      <c r="D904" s="2" t="n"/>
      <c r="E904" s="2" t="n"/>
      <c r="F904" s="2" t="n"/>
    </row>
    <row r="905" ht="15.75" customHeight="1" s="38">
      <c r="A905" s="2" t="n"/>
      <c r="B905" s="2" t="n"/>
      <c r="C905" s="2" t="n"/>
      <c r="D905" s="2" t="n"/>
      <c r="E905" s="2" t="n"/>
      <c r="F905" s="2" t="n"/>
    </row>
    <row r="906" ht="15.75" customHeight="1" s="38">
      <c r="A906" s="2" t="n"/>
      <c r="B906" s="2" t="n"/>
      <c r="C906" s="2" t="n"/>
      <c r="D906" s="2" t="n"/>
      <c r="E906" s="2" t="n"/>
      <c r="F906" s="2" t="n"/>
    </row>
    <row r="907" ht="15.75" customHeight="1" s="38">
      <c r="A907" s="2" t="n"/>
      <c r="B907" s="2" t="n"/>
      <c r="C907" s="2" t="n"/>
      <c r="D907" s="2" t="n"/>
      <c r="E907" s="2" t="n"/>
      <c r="F907" s="2" t="n"/>
    </row>
    <row r="908" ht="15.75" customHeight="1" s="38">
      <c r="A908" s="2" t="n"/>
      <c r="B908" s="2" t="n"/>
      <c r="C908" s="2" t="n"/>
      <c r="D908" s="2" t="n"/>
      <c r="E908" s="2" t="n"/>
      <c r="F908" s="2" t="n"/>
    </row>
    <row r="909" ht="15.75" customHeight="1" s="38">
      <c r="A909" s="2" t="n"/>
      <c r="B909" s="2" t="n"/>
      <c r="C909" s="2" t="n"/>
      <c r="D909" s="2" t="n"/>
      <c r="E909" s="2" t="n"/>
      <c r="F909" s="2" t="n"/>
    </row>
    <row r="910" ht="15.75" customHeight="1" s="38">
      <c r="A910" s="2" t="n"/>
      <c r="B910" s="2" t="n"/>
      <c r="C910" s="2" t="n"/>
      <c r="D910" s="2" t="n"/>
      <c r="E910" s="2" t="n"/>
      <c r="F910" s="2" t="n"/>
    </row>
    <row r="911" ht="15.75" customHeight="1" s="38">
      <c r="A911" s="2" t="n"/>
      <c r="B911" s="2" t="n"/>
      <c r="C911" s="2" t="n"/>
      <c r="D911" s="2" t="n"/>
      <c r="E911" s="2" t="n"/>
      <c r="F911" s="2" t="n"/>
    </row>
    <row r="912" ht="15.75" customHeight="1" s="38">
      <c r="A912" s="2" t="n"/>
      <c r="B912" s="2" t="n"/>
      <c r="C912" s="2" t="n"/>
      <c r="D912" s="2" t="n"/>
      <c r="E912" s="2" t="n"/>
      <c r="F912" s="2" t="n"/>
    </row>
    <row r="913" ht="15.75" customHeight="1" s="38">
      <c r="A913" s="2" t="n"/>
      <c r="B913" s="2" t="n"/>
      <c r="C913" s="2" t="n"/>
      <c r="D913" s="2" t="n"/>
      <c r="E913" s="2" t="n"/>
      <c r="F913" s="2" t="n"/>
    </row>
    <row r="914" ht="15.75" customHeight="1" s="38">
      <c r="A914" s="2" t="n"/>
      <c r="B914" s="2" t="n"/>
      <c r="C914" s="2" t="n"/>
      <c r="D914" s="2" t="n"/>
      <c r="E914" s="2" t="n"/>
      <c r="F914" s="2" t="n"/>
    </row>
    <row r="915" ht="15.75" customHeight="1" s="38">
      <c r="A915" s="2" t="n"/>
      <c r="B915" s="2" t="n"/>
      <c r="C915" s="2" t="n"/>
      <c r="D915" s="2" t="n"/>
      <c r="E915" s="2" t="n"/>
      <c r="F915" s="2" t="n"/>
    </row>
    <row r="916" ht="15.75" customHeight="1" s="38">
      <c r="A916" s="2" t="n"/>
      <c r="B916" s="2" t="n"/>
      <c r="C916" s="2" t="n"/>
      <c r="D916" s="2" t="n"/>
      <c r="E916" s="2" t="n"/>
      <c r="F916" s="2" t="n"/>
    </row>
    <row r="917" ht="15.75" customHeight="1" s="38">
      <c r="A917" s="2" t="n"/>
      <c r="B917" s="2" t="n"/>
      <c r="C917" s="2" t="n"/>
      <c r="D917" s="2" t="n"/>
      <c r="E917" s="2" t="n"/>
      <c r="F917" s="2" t="n"/>
    </row>
    <row r="918" ht="15.75" customHeight="1" s="38">
      <c r="A918" s="2" t="n"/>
      <c r="B918" s="2" t="n"/>
      <c r="C918" s="2" t="n"/>
      <c r="D918" s="2" t="n"/>
      <c r="E918" s="2" t="n"/>
      <c r="F918" s="2" t="n"/>
    </row>
    <row r="919" ht="15.75" customHeight="1" s="38">
      <c r="A919" s="2" t="n"/>
      <c r="B919" s="2" t="n"/>
      <c r="C919" s="2" t="n"/>
      <c r="D919" s="2" t="n"/>
      <c r="E919" s="2" t="n"/>
      <c r="F919" s="2" t="n"/>
    </row>
    <row r="920" ht="15.75" customHeight="1" s="38">
      <c r="A920" s="2" t="n"/>
      <c r="B920" s="2" t="n"/>
      <c r="C920" s="2" t="n"/>
      <c r="D920" s="2" t="n"/>
      <c r="E920" s="2" t="n"/>
      <c r="F920" s="2" t="n"/>
    </row>
    <row r="921" ht="15.75" customHeight="1" s="38">
      <c r="A921" s="2" t="n"/>
      <c r="B921" s="2" t="n"/>
      <c r="C921" s="2" t="n"/>
      <c r="D921" s="2" t="n"/>
      <c r="E921" s="2" t="n"/>
      <c r="F921" s="2" t="n"/>
    </row>
    <row r="922" ht="15.75" customHeight="1" s="38">
      <c r="A922" s="2" t="n"/>
      <c r="B922" s="2" t="n"/>
      <c r="C922" s="2" t="n"/>
      <c r="D922" s="2" t="n"/>
      <c r="E922" s="2" t="n"/>
      <c r="F922" s="2" t="n"/>
    </row>
    <row r="923" ht="15.75" customHeight="1" s="38">
      <c r="A923" s="2" t="n"/>
      <c r="B923" s="2" t="n"/>
      <c r="C923" s="2" t="n"/>
      <c r="D923" s="2" t="n"/>
      <c r="E923" s="2" t="n"/>
      <c r="F923" s="2" t="n"/>
    </row>
    <row r="924" ht="15.75" customHeight="1" s="38">
      <c r="A924" s="2" t="n"/>
      <c r="B924" s="2" t="n"/>
      <c r="C924" s="2" t="n"/>
      <c r="D924" s="2" t="n"/>
      <c r="E924" s="2" t="n"/>
      <c r="F924" s="2" t="n"/>
    </row>
    <row r="925" ht="15.75" customHeight="1" s="38">
      <c r="A925" s="2" t="n"/>
      <c r="B925" s="2" t="n"/>
      <c r="C925" s="2" t="n"/>
      <c r="D925" s="2" t="n"/>
      <c r="E925" s="2" t="n"/>
      <c r="F925" s="2" t="n"/>
    </row>
    <row r="926" ht="15.75" customHeight="1" s="38">
      <c r="A926" s="2" t="n"/>
      <c r="B926" s="2" t="n"/>
      <c r="C926" s="2" t="n"/>
      <c r="D926" s="2" t="n"/>
      <c r="E926" s="2" t="n"/>
      <c r="F926" s="2" t="n"/>
    </row>
    <row r="927" ht="15.75" customHeight="1" s="38">
      <c r="A927" s="2" t="n"/>
      <c r="B927" s="2" t="n"/>
      <c r="C927" s="2" t="n"/>
      <c r="D927" s="2" t="n"/>
      <c r="E927" s="2" t="n"/>
      <c r="F927" s="2" t="n"/>
    </row>
    <row r="928" ht="15.75" customHeight="1" s="38">
      <c r="A928" s="2" t="n"/>
      <c r="B928" s="2" t="n"/>
      <c r="C928" s="2" t="n"/>
      <c r="D928" s="2" t="n"/>
      <c r="E928" s="2" t="n"/>
      <c r="F928" s="2" t="n"/>
    </row>
    <row r="929" ht="15.75" customHeight="1" s="38">
      <c r="A929" s="2" t="n"/>
      <c r="B929" s="2" t="n"/>
      <c r="C929" s="2" t="n"/>
      <c r="D929" s="2" t="n"/>
      <c r="E929" s="2" t="n"/>
      <c r="F929" s="2" t="n"/>
    </row>
    <row r="930" ht="15.75" customHeight="1" s="38">
      <c r="A930" s="2" t="n"/>
      <c r="B930" s="2" t="n"/>
      <c r="C930" s="2" t="n"/>
      <c r="D930" s="2" t="n"/>
      <c r="E930" s="2" t="n"/>
      <c r="F930" s="2" t="n"/>
    </row>
    <row r="931" ht="15.75" customHeight="1" s="38">
      <c r="A931" s="2" t="n"/>
      <c r="B931" s="2" t="n"/>
      <c r="C931" s="2" t="n"/>
      <c r="D931" s="2" t="n"/>
      <c r="E931" s="2" t="n"/>
      <c r="F931" s="2" t="n"/>
    </row>
    <row r="932" ht="15.75" customHeight="1" s="38">
      <c r="A932" s="2" t="n"/>
      <c r="B932" s="2" t="n"/>
      <c r="C932" s="2" t="n"/>
      <c r="D932" s="2" t="n"/>
      <c r="E932" s="2" t="n"/>
      <c r="F932" s="2" t="n"/>
    </row>
    <row r="933" ht="15.75" customHeight="1" s="38">
      <c r="A933" s="2" t="n"/>
      <c r="B933" s="2" t="n"/>
      <c r="C933" s="2" t="n"/>
      <c r="D933" s="2" t="n"/>
      <c r="E933" s="2" t="n"/>
      <c r="F933" s="2" t="n"/>
    </row>
    <row r="934" ht="15.75" customHeight="1" s="38">
      <c r="A934" s="2" t="n"/>
      <c r="B934" s="2" t="n"/>
      <c r="C934" s="2" t="n"/>
      <c r="D934" s="2" t="n"/>
      <c r="E934" s="2" t="n"/>
      <c r="F934" s="2" t="n"/>
    </row>
    <row r="935" ht="15.75" customHeight="1" s="38">
      <c r="A935" s="2" t="n"/>
      <c r="B935" s="2" t="n"/>
      <c r="C935" s="2" t="n"/>
      <c r="D935" s="2" t="n"/>
      <c r="E935" s="2" t="n"/>
      <c r="F935" s="2" t="n"/>
    </row>
    <row r="936" ht="15.75" customHeight="1" s="38">
      <c r="A936" s="2" t="n"/>
      <c r="B936" s="2" t="n"/>
      <c r="C936" s="2" t="n"/>
      <c r="D936" s="2" t="n"/>
      <c r="E936" s="2" t="n"/>
      <c r="F936" s="2" t="n"/>
    </row>
    <row r="937" ht="15.75" customHeight="1" s="38">
      <c r="A937" s="2" t="n"/>
      <c r="B937" s="2" t="n"/>
      <c r="C937" s="2" t="n"/>
      <c r="D937" s="2" t="n"/>
      <c r="E937" s="2" t="n"/>
      <c r="F937" s="2" t="n"/>
    </row>
    <row r="938" ht="15.75" customHeight="1" s="38">
      <c r="A938" s="2" t="n"/>
      <c r="B938" s="2" t="n"/>
      <c r="C938" s="2" t="n"/>
      <c r="D938" s="2" t="n"/>
      <c r="E938" s="2" t="n"/>
      <c r="F938" s="2" t="n"/>
    </row>
    <row r="939" ht="15.75" customHeight="1" s="38">
      <c r="A939" s="2" t="n"/>
      <c r="B939" s="2" t="n"/>
      <c r="C939" s="2" t="n"/>
      <c r="D939" s="2" t="n"/>
      <c r="E939" s="2" t="n"/>
      <c r="F939" s="2" t="n"/>
    </row>
    <row r="940" ht="15.75" customHeight="1" s="38">
      <c r="A940" s="2" t="n"/>
      <c r="B940" s="2" t="n"/>
      <c r="C940" s="2" t="n"/>
      <c r="D940" s="2" t="n"/>
      <c r="E940" s="2" t="n"/>
      <c r="F940" s="2" t="n"/>
    </row>
    <row r="941" ht="15.75" customHeight="1" s="38">
      <c r="A941" s="2" t="n"/>
      <c r="B941" s="2" t="n"/>
      <c r="C941" s="2" t="n"/>
      <c r="D941" s="2" t="n"/>
      <c r="E941" s="2" t="n"/>
      <c r="F941" s="2" t="n"/>
    </row>
    <row r="942" ht="15.75" customHeight="1" s="38">
      <c r="A942" s="2" t="n"/>
      <c r="B942" s="2" t="n"/>
      <c r="C942" s="2" t="n"/>
      <c r="D942" s="2" t="n"/>
      <c r="E942" s="2" t="n"/>
      <c r="F942" s="2" t="n"/>
    </row>
    <row r="943" ht="15.75" customHeight="1" s="38">
      <c r="A943" s="2" t="n"/>
      <c r="B943" s="2" t="n"/>
      <c r="C943" s="2" t="n"/>
      <c r="D943" s="2" t="n"/>
      <c r="E943" s="2" t="n"/>
      <c r="F943" s="2" t="n"/>
    </row>
    <row r="944" ht="15.75" customHeight="1" s="38">
      <c r="A944" s="2" t="n"/>
      <c r="B944" s="2" t="n"/>
      <c r="C944" s="2" t="n"/>
      <c r="D944" s="2" t="n"/>
      <c r="E944" s="2" t="n"/>
      <c r="F944" s="2" t="n"/>
    </row>
    <row r="945" ht="15.75" customHeight="1" s="38">
      <c r="A945" s="2" t="n"/>
      <c r="B945" s="2" t="n"/>
      <c r="C945" s="2" t="n"/>
      <c r="D945" s="2" t="n"/>
      <c r="E945" s="2" t="n"/>
      <c r="F945" s="2" t="n"/>
    </row>
    <row r="946" ht="15.75" customHeight="1" s="38">
      <c r="A946" s="2" t="n"/>
      <c r="B946" s="2" t="n"/>
      <c r="C946" s="2" t="n"/>
      <c r="D946" s="2" t="n"/>
      <c r="E946" s="2" t="n"/>
      <c r="F946" s="2" t="n"/>
    </row>
    <row r="947" ht="15.75" customHeight="1" s="38">
      <c r="A947" s="2" t="n"/>
      <c r="B947" s="2" t="n"/>
      <c r="C947" s="2" t="n"/>
      <c r="D947" s="2" t="n"/>
      <c r="E947" s="2" t="n"/>
      <c r="F947" s="2" t="n"/>
    </row>
    <row r="948" ht="15.75" customHeight="1" s="38">
      <c r="A948" s="2" t="n"/>
      <c r="B948" s="2" t="n"/>
      <c r="C948" s="2" t="n"/>
      <c r="D948" s="2" t="n"/>
      <c r="E948" s="2" t="n"/>
      <c r="F948" s="2" t="n"/>
    </row>
    <row r="949" ht="15.75" customHeight="1" s="38">
      <c r="A949" s="2" t="n"/>
      <c r="B949" s="2" t="n"/>
      <c r="C949" s="2" t="n"/>
      <c r="D949" s="2" t="n"/>
      <c r="E949" s="2" t="n"/>
      <c r="F949" s="2" t="n"/>
    </row>
    <row r="950" ht="15.75" customHeight="1" s="38">
      <c r="A950" s="2" t="n"/>
      <c r="B950" s="2" t="n"/>
      <c r="C950" s="2" t="n"/>
      <c r="D950" s="2" t="n"/>
      <c r="E950" s="2" t="n"/>
      <c r="F950" s="2" t="n"/>
    </row>
    <row r="951" ht="15.75" customHeight="1" s="38">
      <c r="A951" s="2" t="n"/>
      <c r="B951" s="2" t="n"/>
      <c r="C951" s="2" t="n"/>
      <c r="D951" s="2" t="n"/>
      <c r="E951" s="2" t="n"/>
      <c r="F951" s="2" t="n"/>
    </row>
    <row r="952" ht="15.75" customHeight="1" s="38">
      <c r="A952" s="2" t="n"/>
      <c r="B952" s="2" t="n"/>
      <c r="C952" s="2" t="n"/>
      <c r="D952" s="2" t="n"/>
      <c r="E952" s="2" t="n"/>
      <c r="F952" s="2" t="n"/>
    </row>
    <row r="953" ht="15.75" customHeight="1" s="38">
      <c r="A953" s="2" t="n"/>
      <c r="B953" s="2" t="n"/>
      <c r="C953" s="2" t="n"/>
      <c r="D953" s="2" t="n"/>
      <c r="E953" s="2" t="n"/>
      <c r="F953" s="2" t="n"/>
    </row>
    <row r="954" ht="15.75" customHeight="1" s="38">
      <c r="A954" s="2" t="n"/>
      <c r="B954" s="2" t="n"/>
      <c r="C954" s="2" t="n"/>
      <c r="D954" s="2" t="n"/>
      <c r="E954" s="2" t="n"/>
      <c r="F954" s="2" t="n"/>
    </row>
    <row r="955" ht="15.75" customHeight="1" s="38">
      <c r="A955" s="2" t="n"/>
      <c r="B955" s="2" t="n"/>
      <c r="C955" s="2" t="n"/>
      <c r="D955" s="2" t="n"/>
      <c r="E955" s="2" t="n"/>
      <c r="F955" s="2" t="n"/>
    </row>
    <row r="956" ht="15.75" customHeight="1" s="38">
      <c r="A956" s="2" t="n"/>
      <c r="B956" s="2" t="n"/>
      <c r="C956" s="2" t="n"/>
      <c r="D956" s="2" t="n"/>
      <c r="E956" s="2" t="n"/>
      <c r="F956" s="2" t="n"/>
    </row>
    <row r="957" ht="15.75" customHeight="1" s="38">
      <c r="A957" s="2" t="n"/>
      <c r="B957" s="2" t="n"/>
      <c r="C957" s="2" t="n"/>
      <c r="D957" s="2" t="n"/>
      <c r="E957" s="2" t="n"/>
      <c r="F957" s="2" t="n"/>
    </row>
    <row r="958" ht="15.75" customHeight="1" s="38">
      <c r="A958" s="2" t="n"/>
      <c r="B958" s="2" t="n"/>
      <c r="C958" s="2" t="n"/>
      <c r="D958" s="2" t="n"/>
      <c r="E958" s="2" t="n"/>
      <c r="F958" s="2" t="n"/>
    </row>
    <row r="959" ht="15.75" customHeight="1" s="38">
      <c r="A959" s="2" t="n"/>
      <c r="B959" s="2" t="n"/>
      <c r="C959" s="2" t="n"/>
      <c r="D959" s="2" t="n"/>
      <c r="E959" s="2" t="n"/>
      <c r="F959" s="2" t="n"/>
    </row>
    <row r="960" ht="15.75" customHeight="1" s="38">
      <c r="A960" s="2" t="n"/>
      <c r="B960" s="2" t="n"/>
      <c r="C960" s="2" t="n"/>
      <c r="D960" s="2" t="n"/>
      <c r="E960" s="2" t="n"/>
      <c r="F960" s="2" t="n"/>
    </row>
    <row r="961" ht="15.75" customHeight="1" s="38">
      <c r="A961" s="2" t="n"/>
      <c r="B961" s="2" t="n"/>
      <c r="C961" s="2" t="n"/>
      <c r="D961" s="2" t="n"/>
      <c r="E961" s="2" t="n"/>
      <c r="F961" s="2" t="n"/>
    </row>
    <row r="962" ht="15.75" customHeight="1" s="38">
      <c r="A962" s="2" t="n"/>
      <c r="B962" s="2" t="n"/>
      <c r="C962" s="2" t="n"/>
      <c r="D962" s="2" t="n"/>
      <c r="E962" s="2" t="n"/>
      <c r="F962" s="2" t="n"/>
    </row>
    <row r="963" ht="15.75" customHeight="1" s="38">
      <c r="A963" s="2" t="n"/>
      <c r="B963" s="2" t="n"/>
      <c r="C963" s="2" t="n"/>
      <c r="D963" s="2" t="n"/>
      <c r="E963" s="2" t="n"/>
      <c r="F963" s="2" t="n"/>
    </row>
    <row r="964" ht="15.75" customHeight="1" s="38">
      <c r="A964" s="2" t="n"/>
      <c r="B964" s="2" t="n"/>
      <c r="C964" s="2" t="n"/>
      <c r="D964" s="2" t="n"/>
      <c r="E964" s="2" t="n"/>
      <c r="F964" s="2" t="n"/>
    </row>
    <row r="965" ht="15.75" customHeight="1" s="38">
      <c r="A965" s="2" t="n"/>
      <c r="B965" s="2" t="n"/>
      <c r="C965" s="2" t="n"/>
      <c r="D965" s="2" t="n"/>
      <c r="E965" s="2" t="n"/>
      <c r="F965" s="2" t="n"/>
    </row>
    <row r="966" ht="15.75" customHeight="1" s="38">
      <c r="A966" s="2" t="n"/>
      <c r="B966" s="2" t="n"/>
      <c r="C966" s="2" t="n"/>
      <c r="D966" s="2" t="n"/>
      <c r="E966" s="2" t="n"/>
      <c r="F966" s="2" t="n"/>
    </row>
    <row r="967" ht="15.75" customHeight="1" s="38">
      <c r="A967" s="2" t="n"/>
      <c r="B967" s="2" t="n"/>
      <c r="C967" s="2" t="n"/>
      <c r="D967" s="2" t="n"/>
      <c r="E967" s="2" t="n"/>
      <c r="F967" s="2" t="n"/>
    </row>
    <row r="968" ht="15.75" customHeight="1" s="38">
      <c r="A968" s="2" t="n"/>
      <c r="B968" s="2" t="n"/>
      <c r="C968" s="2" t="n"/>
      <c r="D968" s="2" t="n"/>
      <c r="E968" s="2" t="n"/>
      <c r="F968" s="2" t="n"/>
    </row>
    <row r="969" ht="15.75" customHeight="1" s="38">
      <c r="A969" s="2" t="n"/>
      <c r="B969" s="2" t="n"/>
      <c r="C969" s="2" t="n"/>
      <c r="D969" s="2" t="n"/>
      <c r="E969" s="2" t="n"/>
      <c r="F969" s="2" t="n"/>
    </row>
    <row r="970" ht="15.75" customHeight="1" s="38">
      <c r="A970" s="2" t="n"/>
      <c r="B970" s="2" t="n"/>
      <c r="C970" s="2" t="n"/>
      <c r="D970" s="2" t="n"/>
      <c r="E970" s="2" t="n"/>
      <c r="F970" s="2" t="n"/>
    </row>
    <row r="971" ht="15.75" customHeight="1" s="38">
      <c r="A971" s="2" t="n"/>
      <c r="B971" s="2" t="n"/>
      <c r="C971" s="2" t="n"/>
      <c r="D971" s="2" t="n"/>
      <c r="E971" s="2" t="n"/>
      <c r="F971" s="2" t="n"/>
    </row>
    <row r="972" ht="15.75" customHeight="1" s="38">
      <c r="A972" s="2" t="n"/>
      <c r="B972" s="2" t="n"/>
      <c r="C972" s="2" t="n"/>
      <c r="D972" s="2" t="n"/>
      <c r="E972" s="2" t="n"/>
      <c r="F972" s="2" t="n"/>
    </row>
    <row r="973" ht="15.75" customHeight="1" s="38">
      <c r="A973" s="2" t="n"/>
      <c r="B973" s="2" t="n"/>
      <c r="C973" s="2" t="n"/>
      <c r="D973" s="2" t="n"/>
      <c r="E973" s="2" t="n"/>
      <c r="F973" s="2" t="n"/>
    </row>
    <row r="974" ht="15.75" customHeight="1" s="38">
      <c r="A974" s="2" t="n"/>
      <c r="B974" s="2" t="n"/>
      <c r="C974" s="2" t="n"/>
      <c r="D974" s="2" t="n"/>
      <c r="E974" s="2" t="n"/>
      <c r="F974" s="2" t="n"/>
    </row>
    <row r="975" ht="15.75" customHeight="1" s="38">
      <c r="A975" s="2" t="n"/>
      <c r="B975" s="2" t="n"/>
      <c r="C975" s="2" t="n"/>
      <c r="D975" s="2" t="n"/>
      <c r="E975" s="2" t="n"/>
      <c r="F975" s="2" t="n"/>
    </row>
    <row r="976" ht="15.75" customHeight="1" s="38">
      <c r="A976" s="2" t="n"/>
      <c r="B976" s="2" t="n"/>
      <c r="C976" s="2" t="n"/>
      <c r="D976" s="2" t="n"/>
      <c r="E976" s="2" t="n"/>
      <c r="F976" s="2" t="n"/>
    </row>
    <row r="977" ht="15.75" customHeight="1" s="38">
      <c r="A977" s="2" t="n"/>
      <c r="B977" s="2" t="n"/>
      <c r="C977" s="2" t="n"/>
      <c r="D977" s="2" t="n"/>
      <c r="E977" s="2" t="n"/>
      <c r="F977" s="2" t="n"/>
    </row>
    <row r="978" ht="15.75" customHeight="1" s="38">
      <c r="A978" s="2" t="n"/>
      <c r="B978" s="2" t="n"/>
      <c r="C978" s="2" t="n"/>
      <c r="D978" s="2" t="n"/>
      <c r="E978" s="2" t="n"/>
      <c r="F978" s="2" t="n"/>
    </row>
    <row r="979" ht="15.75" customHeight="1" s="38">
      <c r="A979" s="2" t="n"/>
      <c r="B979" s="2" t="n"/>
      <c r="C979" s="2" t="n"/>
      <c r="D979" s="2" t="n"/>
      <c r="E979" s="2" t="n"/>
      <c r="F979" s="2" t="n"/>
    </row>
    <row r="980" ht="15.75" customHeight="1" s="38">
      <c r="A980" s="2" t="n"/>
      <c r="B980" s="2" t="n"/>
      <c r="C980" s="2" t="n"/>
      <c r="D980" s="2" t="n"/>
      <c r="E980" s="2" t="n"/>
      <c r="F980" s="2" t="n"/>
    </row>
    <row r="981" ht="15.75" customHeight="1" s="38">
      <c r="A981" s="2" t="n"/>
      <c r="B981" s="2" t="n"/>
      <c r="C981" s="2" t="n"/>
      <c r="D981" s="2" t="n"/>
      <c r="E981" s="2" t="n"/>
      <c r="F981" s="2" t="n"/>
    </row>
    <row r="982" ht="15.75" customHeight="1" s="38">
      <c r="A982" s="2" t="n"/>
      <c r="B982" s="2" t="n"/>
      <c r="C982" s="2" t="n"/>
      <c r="D982" s="2" t="n"/>
      <c r="E982" s="2" t="n"/>
      <c r="F982" s="2" t="n"/>
    </row>
    <row r="983" ht="15.75" customHeight="1" s="38">
      <c r="A983" s="2" t="n"/>
      <c r="B983" s="2" t="n"/>
      <c r="C983" s="2" t="n"/>
      <c r="D983" s="2" t="n"/>
      <c r="E983" s="2" t="n"/>
      <c r="F983" s="2" t="n"/>
    </row>
    <row r="984" ht="15.75" customHeight="1" s="38">
      <c r="A984" s="2" t="n"/>
      <c r="B984" s="2" t="n"/>
      <c r="C984" s="2" t="n"/>
      <c r="D984" s="2" t="n"/>
      <c r="E984" s="2" t="n"/>
      <c r="F984" s="2" t="n"/>
    </row>
    <row r="985" ht="15.75" customHeight="1" s="38">
      <c r="A985" s="2" t="n"/>
      <c r="B985" s="2" t="n"/>
      <c r="C985" s="2" t="n"/>
      <c r="D985" s="2" t="n"/>
      <c r="E985" s="2" t="n"/>
      <c r="F985" s="2" t="n"/>
    </row>
    <row r="986" ht="15.75" customHeight="1" s="38">
      <c r="A986" s="2" t="n"/>
      <c r="B986" s="2" t="n"/>
      <c r="C986" s="2" t="n"/>
      <c r="D986" s="2" t="n"/>
      <c r="E986" s="2" t="n"/>
      <c r="F986" s="2" t="n"/>
    </row>
    <row r="987" ht="15.75" customHeight="1" s="38">
      <c r="A987" s="2" t="n"/>
      <c r="B987" s="2" t="n"/>
      <c r="C987" s="2" t="n"/>
      <c r="D987" s="2" t="n"/>
      <c r="E987" s="2" t="n"/>
      <c r="F987" s="2" t="n"/>
    </row>
    <row r="988" ht="15.75" customHeight="1" s="38">
      <c r="A988" s="2" t="n"/>
      <c r="B988" s="2" t="n"/>
      <c r="C988" s="2" t="n"/>
      <c r="D988" s="2" t="n"/>
      <c r="E988" s="2" t="n"/>
      <c r="F988" s="2" t="n"/>
    </row>
    <row r="989" ht="15.75" customHeight="1" s="38">
      <c r="A989" s="2" t="n"/>
      <c r="B989" s="2" t="n"/>
      <c r="C989" s="2" t="n"/>
      <c r="D989" s="2" t="n"/>
      <c r="E989" s="2" t="n"/>
      <c r="F989" s="2" t="n"/>
    </row>
    <row r="990" ht="15.75" customHeight="1" s="38">
      <c r="A990" s="2" t="n"/>
      <c r="B990" s="2" t="n"/>
      <c r="C990" s="2" t="n"/>
      <c r="D990" s="2" t="n"/>
      <c r="E990" s="2" t="n"/>
      <c r="F990" s="2" t="n"/>
    </row>
    <row r="991" ht="15.75" customHeight="1" s="38">
      <c r="A991" s="2" t="n"/>
      <c r="B991" s="2" t="n"/>
      <c r="C991" s="2" t="n"/>
      <c r="D991" s="2" t="n"/>
      <c r="E991" s="2" t="n"/>
      <c r="F991" s="2" t="n"/>
    </row>
    <row r="992" ht="15.75" customHeight="1" s="38">
      <c r="A992" s="2" t="n"/>
      <c r="B992" s="2" t="n"/>
      <c r="C992" s="2" t="n"/>
      <c r="D992" s="2" t="n"/>
      <c r="E992" s="2" t="n"/>
      <c r="F992" s="2" t="n"/>
    </row>
    <row r="993" ht="15.75" customHeight="1" s="38">
      <c r="A993" s="2" t="n"/>
      <c r="B993" s="2" t="n"/>
      <c r="C993" s="2" t="n"/>
      <c r="D993" s="2" t="n"/>
      <c r="E993" s="2" t="n"/>
      <c r="F993" s="2" t="n"/>
    </row>
    <row r="994" ht="15.75" customHeight="1" s="38">
      <c r="A994" s="2" t="n"/>
      <c r="B994" s="2" t="n"/>
      <c r="C994" s="2" t="n"/>
      <c r="D994" s="2" t="n"/>
      <c r="E994" s="2" t="n"/>
      <c r="F994" s="2" t="n"/>
    </row>
    <row r="995" ht="15.75" customHeight="1" s="38">
      <c r="A995" s="2" t="n"/>
      <c r="B995" s="2" t="n"/>
      <c r="C995" s="2" t="n"/>
      <c r="D995" s="2" t="n"/>
      <c r="E995" s="2" t="n"/>
      <c r="F995" s="2" t="n"/>
    </row>
    <row r="996" ht="15.75" customHeight="1" s="38">
      <c r="A996" s="2" t="n"/>
      <c r="B996" s="2" t="n"/>
      <c r="C996" s="2" t="n"/>
      <c r="D996" s="2" t="n"/>
      <c r="E996" s="2" t="n"/>
      <c r="F996" s="2" t="n"/>
    </row>
    <row r="997" ht="15.75" customHeight="1" s="38">
      <c r="A997" s="2" t="n"/>
      <c r="B997" s="2" t="n"/>
      <c r="C997" s="2" t="n"/>
      <c r="D997" s="2" t="n"/>
      <c r="E997" s="2" t="n"/>
      <c r="F997" s="2" t="n"/>
    </row>
    <row r="998" ht="15.75" customHeight="1" s="38">
      <c r="A998" s="2" t="n"/>
      <c r="B998" s="2" t="n"/>
      <c r="C998" s="2" t="n"/>
      <c r="D998" s="2" t="n"/>
      <c r="E998" s="2" t="n"/>
      <c r="F998" s="2" t="n"/>
    </row>
    <row r="999" ht="15.75" customHeight="1" s="38">
      <c r="A999" s="2" t="n"/>
      <c r="B999" s="2" t="n"/>
      <c r="C999" s="2" t="n"/>
      <c r="D999" s="2" t="n"/>
      <c r="E999" s="2" t="n"/>
      <c r="F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</row>
  </sheetData>
  <mergeCells count="8">
    <mergeCell ref="A2:F2"/>
    <mergeCell ref="B16:F16"/>
    <mergeCell ref="B15:F15"/>
    <mergeCell ref="A1:F1"/>
    <mergeCell ref="A12:F12"/>
    <mergeCell ref="B14:F14"/>
    <mergeCell ref="B17:F17"/>
    <mergeCell ref="B13:F13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8" min="1" max="6"/>
    <col width="73.29000000000001" customWidth="1" style="38" min="9" max="9"/>
  </cols>
  <sheetData>
    <row r="1">
      <c r="A1" s="4" t="inlineStr">
        <is>
          <t>Day</t>
        </is>
      </c>
      <c r="B1" s="4" t="inlineStr">
        <is>
          <t>Date</t>
        </is>
      </c>
      <c r="C1" s="4" t="inlineStr">
        <is>
          <t>Country</t>
        </is>
      </c>
      <c r="D1" s="4" t="inlineStr">
        <is>
          <t>City</t>
        </is>
      </c>
      <c r="E1" s="4" t="inlineStr">
        <is>
          <t>Hotel</t>
        </is>
      </c>
      <c r="F1" s="4" t="inlineStr">
        <is>
          <t>From → To</t>
        </is>
      </c>
      <c r="G1" s="4" t="inlineStr">
        <is>
          <t>Distance / Time</t>
        </is>
      </c>
      <c r="H1" s="4" t="inlineStr">
        <is>
          <t>Start Time</t>
        </is>
      </c>
      <c r="I1" s="4" t="inlineStr">
        <is>
          <t>Description</t>
        </is>
      </c>
      <c r="J1" s="2" t="inlineStr">
        <is>
          <t>Parking</t>
        </is>
      </c>
      <c r="K1" s="2" t="inlineStr">
        <is>
          <t>Cost</t>
        </is>
      </c>
    </row>
    <row r="2">
      <c r="A2" s="6" t="n">
        <v>-1</v>
      </c>
      <c r="B2" s="6" t="n"/>
      <c r="C2" s="6" t="n"/>
      <c r="D2" s="6" t="n"/>
      <c r="E2" s="11" t="inlineStr">
        <is>
          <t>Airchina</t>
        </is>
      </c>
      <c r="F2" s="6" t="n"/>
      <c r="G2" s="6" t="n"/>
      <c r="H2" s="6" t="n"/>
      <c r="I2" s="6" t="n"/>
      <c r="K2" s="12" t="n">
        <v>11560</v>
      </c>
    </row>
    <row r="3">
      <c r="A3" s="6" t="n">
        <v>0</v>
      </c>
      <c r="B3" s="6" t="inlineStr">
        <is>
          <t>Sat 11 Jul</t>
        </is>
      </c>
      <c r="C3" s="6" t="inlineStr">
        <is>
          <t>Germany 🇩🇪</t>
        </is>
      </c>
      <c r="D3" s="6" t="inlineStr">
        <is>
          <t>Munich</t>
        </is>
      </c>
      <c r="E3" s="11" t="inlineStr">
        <is>
          <t>Budget Car Rental</t>
        </is>
      </c>
      <c r="F3" s="6" t="n"/>
      <c r="G3" s="6" t="n"/>
      <c r="H3" s="6" t="inlineStr">
        <is>
          <t>8.30am</t>
        </is>
      </c>
      <c r="I3" s="6" t="inlineStr">
        <is>
          <t>Car rental</t>
        </is>
      </c>
      <c r="K3" s="12" t="n">
        <v>1372.08</v>
      </c>
    </row>
    <row r="4">
      <c r="A4" s="6" t="n">
        <v>1</v>
      </c>
      <c r="B4" s="6" t="inlineStr">
        <is>
          <t>Sat 11 Jul</t>
        </is>
      </c>
      <c r="C4" s="6" t="inlineStr">
        <is>
          <t>Austria 🇦🇹</t>
        </is>
      </c>
      <c r="D4" s="6" t="inlineStr">
        <is>
          <t>Burg Altpernstein (Upper Austria)</t>
        </is>
      </c>
      <c r="E4" s="13" t="inlineStr">
        <is>
          <t>Burg Altpernstein (Altpernstein 1, 4563 Micheldorf, Austria)</t>
        </is>
      </c>
      <c r="F4" s="6" t="inlineStr">
        <is>
          <t>Munich (land) → Burg Altpernstein</t>
        </is>
      </c>
      <c r="G4" s="6" t="inlineStr">
        <is>
          <t>~290 km · ~3 hrs</t>
        </is>
      </c>
      <c r="H4" s="6" t="inlineStr">
        <is>
          <t>Drive ~10:00 (after car pickup)</t>
        </is>
      </c>
      <c r="I4" s="6" t="inlineStr">
        <is>
          <t>Land MUC T2 07:05. Collect rental car ~09:00. Drive directly south-east to Burg Altpernstein castle hotel in Upper Austria. Check in afternoon. Saturday Vigil Mass at Stiftskirche Spital am Pyhrn (~30 min south, 7 PM). Castle dinner.</t>
        </is>
      </c>
      <c r="K4" s="6" t="n">
        <v>732</v>
      </c>
    </row>
    <row r="5">
      <c r="A5" s="6" t="n">
        <v>2</v>
      </c>
      <c r="B5" s="6" t="inlineStr">
        <is>
          <t>Sun 12 Jul</t>
        </is>
      </c>
      <c r="C5" s="6" t="inlineStr">
        <is>
          <t>Austria 🇦🇹</t>
        </is>
      </c>
      <c r="D5" s="6" t="inlineStr">
        <is>
          <t>Burg Altpernstein (Upper Austria)</t>
        </is>
      </c>
      <c r="E5" s="13" t="inlineStr">
        <is>
          <t>Burg Altpernstein</t>
        </is>
      </c>
      <c r="F5" s="6" t="inlineStr">
        <is>
          <t>Burg base · day-trip Salzburg+Hallstatt OR Hallstatt only OR Salzkammergut</t>
        </is>
      </c>
      <c r="G5" s="6" t="inlineStr">
        <is>
          <t>Optional ~80 km / 1.5 hrs each way to Hallstatt</t>
        </is>
      </c>
      <c r="H5" s="6" t="inlineStr">
        <is>
          <t>09:00 Mass · day flexible</t>
        </is>
      </c>
      <c r="I5" s="6" t="inlineStr">
        <is>
          <t>Day-trip options: Hallstatt half-day OR Salzburg + Hallstatt (Residenzplatz, Felsenreitschule, Mozart, Hohensalzburg) OR full Salzkammergut. ⛪ Sun Mass already covered by Sat Vigil.</t>
        </is>
      </c>
      <c r="K5" s="39" t="n"/>
    </row>
    <row r="6">
      <c r="A6" s="6" t="n">
        <v>3</v>
      </c>
      <c r="B6" s="6" t="inlineStr">
        <is>
          <t>Mon 13 Jul</t>
        </is>
      </c>
      <c r="C6" s="6" t="inlineStr">
        <is>
          <t>Czechia 🇨🇿</t>
        </is>
      </c>
      <c r="D6" s="6" t="inlineStr">
        <is>
          <t>Prague</t>
        </is>
      </c>
      <c r="E6" s="13" t="inlineStr">
        <is>
          <t>Gold Art Apartment</t>
        </is>
      </c>
      <c r="F6" s="6" t="inlineStr">
        <is>
          <t>Burg Altpernstein → Prague</t>
        </is>
      </c>
      <c r="G6" s="6" t="inlineStr">
        <is>
          <t>~430 km · 4.5–5 hrs</t>
        </is>
      </c>
      <c r="H6" s="9" t="inlineStr">
        <is>
          <t>08:00</t>
        </is>
      </c>
      <c r="I6" s="6" t="inlineStr">
        <is>
          <t>Drive north to Prague. Arrive mid-afternoon — Charles Bridge at golden hour, Old Town Square, Czech beer hall. Check in to Gold Art Apartment. 🧺 LAUNDRY DROP: Prague Andy's Laundromat (Korunní 14, Vinohrady) — open 9am–8pm daily, ~€10–15 family load, cards OK, English-speaking. Drop on arrival, pick up before dinner.</t>
        </is>
      </c>
      <c r="K6" s="6" t="n">
        <v>630</v>
      </c>
    </row>
    <row r="7">
      <c r="A7" s="6" t="n">
        <v>4</v>
      </c>
      <c r="B7" s="6" t="inlineStr">
        <is>
          <t>Tue 14 Jul</t>
        </is>
      </c>
      <c r="C7" s="6" t="inlineStr">
        <is>
          <t>Czechia 🇨🇿</t>
        </is>
      </c>
      <c r="D7" s="6" t="inlineStr">
        <is>
          <t>Prague</t>
        </is>
      </c>
      <c r="E7" s="13" t="inlineStr">
        <is>
          <t>Gold Art Apartment</t>
        </is>
      </c>
      <c r="F7" s="6" t="inlineStr">
        <is>
          <t>Prague (full day)</t>
        </is>
      </c>
      <c r="G7" s="6" t="inlineStr">
        <is>
          <t>—</t>
        </is>
      </c>
      <c r="H7" s="6" t="inlineStr">
        <is>
          <t>Full day</t>
        </is>
      </c>
      <c r="I7" s="6" t="inlineStr">
        <is>
          <t>Prague Castle &amp; St. Vitus Cathedral, Josefov Jewish Quarter, Wenceslas Square, Vltava river cruise.</t>
        </is>
      </c>
      <c r="K7" s="39" t="n"/>
    </row>
    <row r="8">
      <c r="A8" s="6" t="n">
        <v>5</v>
      </c>
      <c r="B8" s="6" t="inlineStr">
        <is>
          <t>Wed 15 Jul</t>
        </is>
      </c>
      <c r="C8" s="6" t="inlineStr">
        <is>
          <t>Austria 🇦🇹</t>
        </is>
      </c>
      <c r="D8" s="6" t="inlineStr">
        <is>
          <t>Vienna</t>
        </is>
      </c>
      <c r="E8" s="13" t="inlineStr">
        <is>
          <t>The Levante Laudon</t>
        </is>
      </c>
      <c r="F8" s="6" t="inlineStr">
        <is>
          <t>Prague → Vienna</t>
        </is>
      </c>
      <c r="G8" s="6" t="inlineStr">
        <is>
          <t>~320 km · 3.5–4 hrs</t>
        </is>
      </c>
      <c r="H8" s="6" t="inlineStr">
        <is>
          <t>11:00</t>
        </is>
      </c>
      <c r="I8" s="6" t="inlineStr">
        <is>
          <t>Morning Prague Castle area. Drive south, arrive lunch. Schönbrunn Palace, Ringstrasse, Naschmarkt, Sachertorte at Café Sacher.</t>
        </is>
      </c>
      <c r="K8" s="6" t="n">
        <v>330</v>
      </c>
    </row>
    <row r="9">
      <c r="A9" s="6" t="n">
        <v>6</v>
      </c>
      <c r="B9" s="6" t="inlineStr">
        <is>
          <t>Thu 16 Jul</t>
        </is>
      </c>
      <c r="C9" s="6" t="inlineStr">
        <is>
          <t>Hungary 🇭🇺</t>
        </is>
      </c>
      <c r="D9" s="6" t="inlineStr">
        <is>
          <t>Budapest</t>
        </is>
      </c>
      <c r="E9" s="13" t="inlineStr">
        <is>
          <t>City Home Budapest</t>
        </is>
      </c>
      <c r="F9" s="6" t="inlineStr">
        <is>
          <t>Vienna → Budapest</t>
        </is>
      </c>
      <c r="G9" s="6" t="inlineStr">
        <is>
          <t>~270 km · 2.5–3.5 hrs</t>
        </is>
      </c>
      <c r="H9" s="6" t="inlineStr">
        <is>
          <t>10:00</t>
        </is>
      </c>
      <c r="I9" s="6" t="inlineStr">
        <is>
          <t>Drive Vienna→Budapest. 🧺 LAUNDRY DROP on arrival ~14:00: walk 7 min from City Home to self-service laundry at Dohány u. 37 (cash only HUF/€, ~3,000 HUF / €7.50, open 9am–10pm). Drop, then sightsee while it washes (~3 hrs). Park at City Home underground garage (~€20/night). Walk to Castle Hill via Chain Bridge — funicular up to Fisherman's Bastion, Matthias Church, Buda Castle exterior. Pick up clean clothes ~17:30. Széchenyi Thermal Baths via M1 metro from Oktogon. Goulash dinner; kürtőskalács for the kids. Parliament view from Buda side at sunset.</t>
        </is>
      </c>
      <c r="K9" s="6" t="n">
        <v>284</v>
      </c>
    </row>
    <row r="10">
      <c r="A10" s="6" t="n">
        <v>7</v>
      </c>
      <c r="B10" s="6" t="inlineStr">
        <is>
          <t>Fri 17 Jul</t>
        </is>
      </c>
      <c r="C10" s="6" t="inlineStr">
        <is>
          <t>Italy 🇮🇹 (via 🇸🇮)</t>
        </is>
      </c>
      <c r="D10" s="6" t="inlineStr">
        <is>
          <t>Venice / Mestre (mainland)</t>
        </is>
      </c>
      <c r="E10" s="13" t="inlineStr">
        <is>
          <t>Trilocale Venezia Mestre · 5 min Stazione</t>
        </is>
      </c>
      <c r="F10" s="6" t="inlineStr">
        <is>
          <t>Budapest → Bled stop → Mestre</t>
        </is>
      </c>
      <c r="G10" s="6" t="inlineStr">
        <is>
          <t>~530 km · 8–9 hrs</t>
        </is>
      </c>
      <c r="H10" s="9" t="inlineStr">
        <is>
          <t>07:30</t>
        </is>
      </c>
      <c r="I10" s="6" t="inlineStr">
        <is>
          <t>Bled, Slovenia 2.5hr stop — emerald glacial lake, castle, kremšnita cake. Continue to Mestre (mainland Venice). Park free at hotel (much better than €30/day Piazzale Roma garage). Quick freshen-up, then train Mestre → Venezia Santa Lucia (~10 min, ~€1.50, every 5–10 min) for evening on the islands.</t>
        </is>
      </c>
      <c r="K10" s="2" t="n"/>
    </row>
    <row r="11">
      <c r="A11" s="6" t="n">
        <v>8</v>
      </c>
      <c r="B11" s="6" t="inlineStr">
        <is>
          <t>Sat 18 Jul</t>
        </is>
      </c>
      <c r="C11" s="6" t="inlineStr">
        <is>
          <t>Italy 🇮🇹</t>
        </is>
      </c>
      <c r="D11" s="6" t="inlineStr">
        <is>
          <t>Venice / Mestre (mainland)</t>
        </is>
      </c>
      <c r="E11" s="13" t="inlineStr">
        <is>
          <t>Trilocale Venezia Mestre · 5 min Stazione</t>
        </is>
      </c>
      <c r="F11" s="6" t="inlineStr">
        <is>
          <t>Venice (full day)</t>
        </is>
      </c>
      <c r="G11" s="6" t="inlineStr">
        <is>
          <t>—</t>
        </is>
      </c>
      <c r="H11" s="6" t="inlineStr">
        <is>
          <t>Full day</t>
        </is>
      </c>
      <c r="I11" s="6" t="inlineStr">
        <is>
          <t>Full day on Venice islands. Train Mestre → Santa Lucia (~10 min). Gondola ride, St. Mark's Basilica &amp; Doge's Palace, Rialto Bridge, vaporetto to Burano. Train back to Mestre evening. 🧺 OPTIONAL top-up wash: BIO LAVATU at Viale San Marco 98 (300m / 4-min walk, same street as hotel) — only if you didn't do Budapest, or if kids' clothes are particularly grimy from the boat day.</t>
        </is>
      </c>
    </row>
    <row r="12">
      <c r="A12" s="6" t="n">
        <v>9</v>
      </c>
      <c r="B12" s="6" t="inlineStr">
        <is>
          <t>Sun 19 Jul</t>
        </is>
      </c>
      <c r="C12" s="6" t="inlineStr">
        <is>
          <t>Italy 🇮🇹</t>
        </is>
      </c>
      <c r="D12" s="6" t="inlineStr">
        <is>
          <t>Florence</t>
        </is>
      </c>
      <c r="E12" s="13" t="inlineStr">
        <is>
          <t>Garden Blue (San Gallo / Campo Grande)</t>
        </is>
      </c>
      <c r="F12" s="6" t="inlineStr">
        <is>
          <t>Venice → Florence</t>
        </is>
      </c>
      <c r="G12" s="6" t="inlineStr">
        <is>
          <t>~270 km · 3–3.5 hrs</t>
        </is>
      </c>
      <c r="H12" s="6" t="inlineStr">
        <is>
          <t>10:00</t>
        </is>
      </c>
      <c r="I12" s="6" t="inlineStr">
        <is>
          <t>Drive Mestre→Florence (~270 km · 3–3.5 hrs · start 10:00). La Farina Apartments — eastern Florence near Campo di Marte, has parking, ~10–15 min walk or short bus to Duomo. Apartment has kitchen, Nespresso, dishwasher. Afternoon: Duomo &amp; Baptistery, Ponte Vecchio, Piazzale Michelangelo at golden hour. 🧺 Building basement coin-op laundromat available (get coins from reception) — convenient for next cycle wash on Day 12 Rome timing.</t>
        </is>
      </c>
    </row>
    <row r="13">
      <c r="A13" s="6" t="n">
        <v>10</v>
      </c>
      <c r="B13" s="6" t="inlineStr">
        <is>
          <t>Mon 20 Jul</t>
        </is>
      </c>
      <c r="C13" s="6" t="inlineStr">
        <is>
          <t>Italy 🇮🇹 (via 🇺 Umbria)</t>
        </is>
      </c>
      <c r="D13" s="6" t="inlineStr">
        <is>
          <t>Rome (Aurelio · west of Vatican)</t>
        </is>
      </c>
      <c r="E13" s="13" t="inlineStr">
        <is>
          <t>Auri apartment (near Vatican Museums)</t>
        </is>
      </c>
      <c r="F13" s="6" t="inlineStr">
        <is>
          <t>Florence → Pisa → Montecchio → Perugia → Rome</t>
        </is>
      </c>
      <c r="G13" s="6" t="inlineStr">
        <is>
          <t>~570 km · 8+ hrs (incl stops)</t>
        </is>
      </c>
      <c r="H13" s="6" t="inlineStr">
        <is>
          <t>09:00 from Florence</t>
        </is>
      </c>
      <c r="I13" s="6" t="inlineStr">
        <is>
          <t>TRAVEL DAY: Florence→Rome via Tuscany+Umbria. Stops: Pisa (Tower photo, ~1hr), Castello di Montecchio Vesponi (~30min), Perugia (Palazzo dei Priori + Arco Etrusco, ~1hr). Arrive Rome ~19:30, check in DaBrieBra Vaticano (Aurelio · 17min walk Vatican). Evening: Cipro metro→Spagna→Trevi Fountain at night (lit, less crowded). ⚠️ Long day · drop Pisa OR Montecchio if kids fading.</t>
        </is>
      </c>
    </row>
    <row r="14">
      <c r="A14" s="6" t="n">
        <v>11</v>
      </c>
      <c r="B14" s="6" t="inlineStr">
        <is>
          <t>Tue 21 Jul</t>
        </is>
      </c>
      <c r="C14" s="6" t="inlineStr">
        <is>
          <t>Italy 🇮🇹</t>
        </is>
      </c>
      <c r="D14" s="6" t="inlineStr">
        <is>
          <t>Rome (Aurelio · west of Vatican)</t>
        </is>
      </c>
      <c r="E14" s="13" t="inlineStr">
        <is>
          <t>Auri apartment (near Vatican Museums)</t>
        </is>
      </c>
      <c r="F14" s="6" t="inlineStr">
        <is>
          <t>Rome → Villa Balke → Pompeii → Castello di Lettere → Rome</t>
        </is>
      </c>
      <c r="G14" s="6" t="inlineStr">
        <is>
          <t>~480 km round · 6+ hrs driving</t>
        </is>
      </c>
      <c r="H14" s="9" t="inlineStr">
        <is>
          <t>07:30 from Rome</t>
        </is>
      </c>
      <c r="I14" s="6" t="inlineStr">
        <is>
          <t>Pompeii + Naples coast day trip from Rome. 07:30 leave · 10:30 lunch at Villa Balke (Torre del Greco, 4.6★) · 12:30–15:00 Pompeii archaeological site (pre-book pompeiisites.org) · 15:30 Castello di Lettere quick stop (Vesuvius views) · ~16:30 drive back to Rome. Optional evening: Cipro→San Giovanni metro for Basilica of San Giovanni in Laterano (Cathedral of Rome, daily Mass 18:00). Skip San Giovanni if exhausted, see Day 12 morning.</t>
        </is>
      </c>
    </row>
    <row r="15">
      <c r="A15" s="6" t="n">
        <v>12</v>
      </c>
      <c r="B15" s="6" t="inlineStr">
        <is>
          <t>Wed 22 Jul</t>
        </is>
      </c>
      <c r="C15" s="6" t="inlineStr">
        <is>
          <t>Italy 🇮🇹 / Vatican City</t>
        </is>
      </c>
      <c r="D15" s="6" t="inlineStr">
        <is>
          <t>Rome — Vatican walking day</t>
        </is>
      </c>
      <c r="E15" s="13" t="inlineStr">
        <is>
          <t>Auri apartment (near Vatican Museums)</t>
        </is>
      </c>
      <c r="F15" s="6" t="inlineStr">
        <is>
          <t>Walking day (no driving)</t>
        </is>
      </c>
      <c r="G15" s="6" t="inlineStr">
        <is>
          <t>~10 km on foot</t>
        </is>
      </c>
      <c r="H15" s="6" t="inlineStr">
        <is>
          <t>07:00 leave hotel</t>
        </is>
      </c>
      <c r="I15" s="6" t="inlineStr">
        <is>
          <t>VATICAN DAY · the trip's biggest single day (~10km walking). 08:30 walk 17min to Vatican Museums entrance. 09:00 Vatican Museums (pre-booked museivaticani.va) · Gallery of Maps · Sistine Chapel. Use chapel-to-basilica shortcut into St. Peter's. Lunch in Borgo Pio (skip Via della Conciliazione tourist traps). Castel Sant'Angelo + Bridge of Angels. Walk to Piazza Navona for evening. Dinner around Piazza Navona, gelato Tre Scalini (truffle). Taxi back to hotel. Daily Mass at St. Peter's 17:00 (Italian) for today's Mass.</t>
        </is>
      </c>
    </row>
    <row r="16">
      <c r="A16" s="6" t="n">
        <v>13</v>
      </c>
      <c r="B16" s="6" t="inlineStr">
        <is>
          <t>Thu 23 Jul</t>
        </is>
      </c>
      <c r="C16" s="6" t="inlineStr">
        <is>
          <t>Italy 🇮🇹</t>
        </is>
      </c>
      <c r="D16" s="6" t="inlineStr">
        <is>
          <t>Milan</t>
        </is>
      </c>
      <c r="E16" s="6" t="inlineStr">
        <is>
          <t>TBD</t>
        </is>
      </c>
      <c r="F16" s="6" t="inlineStr">
        <is>
          <t>Rome → Florence stop → Milan</t>
        </is>
      </c>
      <c r="G16" s="6" t="inlineStr">
        <is>
          <t>~580 km · 6.5–7.5 hrs</t>
        </is>
      </c>
      <c r="H16" s="9" t="inlineStr">
        <is>
          <t>07:30</t>
        </is>
      </c>
      <c r="I16" s="6" t="inlineStr">
        <is>
          <t>Drive north. Florence stop ~1.5hrs — coffee at Piazzale Michelangelo. Milan — Duomo, Galleria, Navigli canal dinner.</t>
        </is>
      </c>
    </row>
    <row r="17">
      <c r="A17" s="6" t="n">
        <v>14</v>
      </c>
      <c r="B17" s="6" t="inlineStr">
        <is>
          <t>Fri 24 Jul</t>
        </is>
      </c>
      <c r="C17" s="6" t="inlineStr">
        <is>
          <t>Switzerland 🇨🇭</t>
        </is>
      </c>
      <c r="D17" s="6" t="inlineStr">
        <is>
          <t>Stalden (Valais)</t>
        </is>
      </c>
      <c r="E17" s="6" t="inlineStr">
        <is>
          <t>Postman 8 · Room 3 (Kirchweg 8, 3922 Stalden)</t>
        </is>
      </c>
      <c r="F17" s="6" t="inlineStr">
        <is>
          <t>Milan (half-day) → Stalden</t>
        </is>
      </c>
      <c r="G17" s="6" t="inlineStr">
        <is>
          <t>~290 km · 3.5–4 hrs (incl. Simplon)</t>
        </is>
      </c>
      <c r="H17" s="6" t="inlineStr">
        <is>
          <t>08:30 Duomo · 14:30 leave Milan</t>
        </is>
      </c>
      <c r="I17" s="6" t="inlineStr">
        <is>
          <t>MORNING MILAN: Duomo + rooftop terrace, Galleria Vittorio Emanuele II, Brera lunch. AFTERNOON: drive Milan → Stalden via Lugano + Simplon Pass. Arrive Stalden ~18:00.</t>
        </is>
      </c>
    </row>
    <row r="18">
      <c r="A18" s="6" t="n">
        <v>15</v>
      </c>
      <c r="B18" s="6" t="inlineStr">
        <is>
          <t>Sat 25 Jul</t>
        </is>
      </c>
      <c r="C18" s="6" t="inlineStr">
        <is>
          <t>Switzerland 🇨🇭</t>
        </is>
      </c>
      <c r="D18" s="6" t="inlineStr">
        <is>
          <t>Moléson-sur-Gruyères (Fribourg)</t>
        </is>
      </c>
      <c r="E18" s="6" t="inlineStr">
        <is>
          <t>La Pierre à Catillon (Route de Moléson 228, 1663)</t>
        </is>
      </c>
      <c r="F18" s="6" t="inlineStr">
        <is>
          <t>Stalden ↔ Zermatt (Gornergrat) → Moléson</t>
        </is>
      </c>
      <c r="G18" s="6" t="inlineStr">
        <is>
          <t>Train 30min·Stalden→Zermatt · ~190 km drive</t>
        </is>
      </c>
      <c r="H18" s="9" t="inlineStr">
        <is>
          <t>~07:00 Gornergrat · 13:00 leave Stalden</t>
        </is>
      </c>
      <c r="I18" s="6" t="inlineStr">
        <is>
          <t>GORNERGRAT MORNING: train Stalden → Zermatt → Gornergrat (3,089m). Back Stalden ~12:00. Drive to Moléson. Sat Vigil at Église Saint-Théodule Gruyères or Saint-Pierre-aux-Liens Bulle.</t>
        </is>
      </c>
    </row>
    <row r="19">
      <c r="A19" s="6" t="n">
        <v>16</v>
      </c>
      <c r="B19" s="6" t="inlineStr">
        <is>
          <t>Sun 26 Jul</t>
        </is>
      </c>
      <c r="C19" s="6" t="inlineStr">
        <is>
          <t>Switzerland 🇨🇭</t>
        </is>
      </c>
      <c r="D19" s="6" t="inlineStr">
        <is>
          <t>Moléson-sur-Gruyères (Fribourg)</t>
        </is>
      </c>
      <c r="E19" s="6" t="inlineStr">
        <is>
          <t>La Pierre à Catillon (same hotel, 2nd night)</t>
        </is>
      </c>
      <c r="F19" s="6" t="inlineStr">
        <is>
          <t>Moléson → Geneva day trip → Moléson</t>
        </is>
      </c>
      <c r="G19" s="6" t="inlineStr">
        <is>
          <t>~80 km / 1h 15min each way</t>
        </is>
      </c>
      <c r="H19" s="6" t="inlineStr">
        <is>
          <t>08:30 leave (or 10:00 if Sat Vigil done)</t>
        </is>
      </c>
      <c r="I19" s="6" t="inlineStr">
        <is>
          <t>Geneva day-trip from Moléson — SIGHTSEEING ONLY (Sat Vigil covers Sun obligation). Old Town, Cathédrale Saint-Pierre, Jet d'Eau, Bains des Pâquis. Return Moléson ~19:00.</t>
        </is>
      </c>
    </row>
    <row r="20">
      <c r="A20" s="6" t="n">
        <v>17</v>
      </c>
      <c r="B20" s="6" t="inlineStr">
        <is>
          <t>Mon 27 Jul</t>
        </is>
      </c>
      <c r="C20" s="6" t="inlineStr">
        <is>
          <t>Germany 🇩🇪 (via 🇨🇭)</t>
        </is>
      </c>
      <c r="D20" s="6" t="inlineStr">
        <is>
          <t>Ottobeuren (Bavaria)</t>
        </is>
      </c>
      <c r="E20" s="6" t="inlineStr">
        <is>
          <t>Hotel Hirsch (Marktplatz 12)</t>
        </is>
      </c>
      <c r="F20" s="6" t="inlineStr">
        <is>
          <t>Moléson → Bern stop → Ottobeuren</t>
        </is>
      </c>
      <c r="G20" s="6" t="inlineStr">
        <is>
          <t>~480 km · 5h drive + 3h Bern</t>
        </is>
      </c>
      <c r="H20" s="6" t="inlineStr">
        <is>
          <t>08:00 leave Moléson</t>
        </is>
      </c>
      <c r="I20" s="6" t="inlineStr">
        <is>
          <t>Drive Moléson → Bern (~1h). 3-hr Bern stop. Cross Swiss-German border. Ottobeuren via A81/A7. Bavarian dinner at Hirsch.</t>
        </is>
      </c>
    </row>
    <row r="21" ht="15.75" customHeight="1" s="38">
      <c r="A21" s="6" t="n">
        <v>18</v>
      </c>
      <c r="B21" s="6" t="inlineStr">
        <is>
          <t>Tue 28 Jul</t>
        </is>
      </c>
      <c r="C21" s="6" t="inlineStr">
        <is>
          <t>France 🇫🇷</t>
        </is>
      </c>
      <c r="D21" s="6" t="inlineStr">
        <is>
          <t>Lourdes</t>
        </is>
      </c>
      <c r="E21" s="6" t="inlineStr">
        <is>
          <t>Hôtel Atrium Mondial (19 Av. du Paradis, Lourdes) ✓ Booked</t>
        </is>
      </c>
      <c r="F21" s="6" t="inlineStr">
        <is>
          <t>Ottobeuren → MUC drop → KLM via AMS → TLS → Lourdes</t>
        </is>
      </c>
      <c r="G21" s="6" t="inlineStr">
        <is>
          <t>145 km + KLM 4h25m + 150 km</t>
        </is>
      </c>
      <c r="H21" s="9" t="inlineStr">
        <is>
          <t>09:00 from Ottobeuren</t>
        </is>
      </c>
      <c r="I21" s="6" t="inlineStr">
        <is>
          <t>KLM 11:50 MUC→AMS→TLS 16:15. Pick up TLS rental. Drive to Lourdes 19:00. 21:00 Torch Procession at Sanctuary.</t>
        </is>
      </c>
    </row>
    <row r="22" ht="15.75" customHeight="1" s="38">
      <c r="A22" s="6" t="n">
        <v>19</v>
      </c>
      <c r="B22" s="6" t="inlineStr">
        <is>
          <t>Wed 29 Jul</t>
        </is>
      </c>
      <c r="C22" s="6" t="inlineStr">
        <is>
          <t>Netherlands 🇳🇱</t>
        </is>
      </c>
      <c r="D22" s="6" t="inlineStr">
        <is>
          <t>Amsterdam</t>
        </is>
      </c>
      <c r="E22" s="6" t="inlineStr">
        <is>
          <t>Cousin's home 💚</t>
        </is>
      </c>
      <c r="F22" s="6" t="inlineStr">
        <is>
          <t>Lourdes → TLS drop → TGV → Paris → Eurostar → AMS</t>
        </is>
      </c>
      <c r="G22" s="6" t="inlineStr">
        <is>
          <t>150 km + TGV 4h15m + Eurostar 3h20m</t>
        </is>
      </c>
      <c r="H22" s="9" t="inlineStr">
        <is>
          <t>05:00 wake / 06:00 leave</t>
        </is>
      </c>
      <c r="I22" s="6" t="inlineStr">
        <is>
          <t>Train day. 10:20 TGV Toulouse → Paris 14:35. Cross Paris (Métro/Uber). Eurostar ~16:00 → AMS Centraal 19:20.</t>
        </is>
      </c>
    </row>
    <row r="23" ht="15.75" customHeight="1" s="38">
      <c r="A23" s="7" t="n">
        <v>20</v>
      </c>
      <c r="B23" s="7" t="inlineStr">
        <is>
          <t>Thu 30 Jul</t>
        </is>
      </c>
      <c r="C23" s="7" t="inlineStr">
        <is>
          <t>France 🇫🇷</t>
        </is>
      </c>
      <c r="D23" s="7" t="inlineStr">
        <is>
          <t>Paris suburb (Le Kremlin-Bicêtre)</t>
        </is>
      </c>
      <c r="E23" s="7" t="inlineStr">
        <is>
          <t>ibis budget Paris Porte d Italie Ouest (Le Kremlin-Bicêtre · 2 rooms) ✓ Booked · FREE parking</t>
        </is>
      </c>
      <c r="F23" s="7" t="inlineStr">
        <is>
          <t>AMS → Brussels → Paris</t>
        </is>
      </c>
      <c r="G23" s="7" t="inlineStr">
        <is>
          <t>~520 km · 5h 30min</t>
        </is>
      </c>
      <c r="H23" s="7" t="inlineStr">
        <is>
          <t>08:00 leave AMS</t>
        </is>
      </c>
      <c r="I23" s="7" t="inlineStr">
        <is>
          <t>AMS → Brussels stop → ibis budget LK-B (free parking · Métro to Paris). Eiffel + Seine cruise evening.</t>
        </is>
      </c>
    </row>
    <row r="24" ht="15.75" customHeight="1" s="38">
      <c r="A24" s="6" t="n">
        <v>21</v>
      </c>
      <c r="B24" s="6" t="inlineStr">
        <is>
          <t>Fri 31 Jul</t>
        </is>
      </c>
      <c r="C24" s="6" t="inlineStr">
        <is>
          <t>France 🇫🇷 → 🇳🇱</t>
        </is>
      </c>
      <c r="D24" s="6" t="inlineStr">
        <is>
          <t>Paris day → AMS</t>
        </is>
      </c>
      <c r="E24" s="6" t="inlineStr">
        <is>
          <t>Cousin's home, Amsterdam 💚</t>
        </is>
      </c>
      <c r="F24" s="6" t="inlineStr">
        <is>
          <t>Paris (walking) → drive AMS (5h)</t>
        </is>
      </c>
      <c r="G24" s="6" t="inlineStr">
        <is>
          <t>~510 km · 5h drive</t>
        </is>
      </c>
      <c r="H24" s="6" t="inlineStr">
        <is>
          <t>09:00 sleep-in · 16:00 leave Paris</t>
        </is>
      </c>
      <c r="I24" s="6" t="inlineStr">
        <is>
          <t>Paris morning Louvre + Sainte-Chapelle + Île de la Cité · drive AMS afternoon. Sleep cousin's.</t>
        </is>
      </c>
    </row>
    <row r="25" ht="15.75" customHeight="1" s="38">
      <c r="A25" s="6" t="n">
        <v>22</v>
      </c>
      <c r="B25" s="6" t="inlineStr">
        <is>
          <t>Sat 1 Aug</t>
        </is>
      </c>
      <c r="C25" s="6" t="inlineStr">
        <is>
          <t>Netherlands 🇳🇱</t>
        </is>
      </c>
      <c r="D25" s="6" t="inlineStr">
        <is>
          <t>Amsterdam (rest)</t>
        </is>
      </c>
      <c r="E25" s="6" t="inlineStr">
        <is>
          <t>Cousin's home 💚</t>
        </is>
      </c>
      <c r="F25" s="6" t="inlineStr">
        <is>
          <t>AMS local · no driving</t>
        </is>
      </c>
      <c r="G25" s="6" t="inlineStr">
        <is>
          <t>— foot/tram</t>
        </is>
      </c>
      <c r="H25" s="6" t="inlineStr">
        <is>
          <t>Slow morning</t>
        </is>
      </c>
      <c r="I25" s="6" t="inlineStr">
        <is>
          <t>REST day with cousin. Canals, Anne Frank, Vondelpark, Jordaan. Sat 17:00 Vigil at Sint-Nicolaaskerk AMS.</t>
        </is>
      </c>
    </row>
    <row r="26" ht="15.75" customHeight="1" s="38">
      <c r="A26" s="7" t="n">
        <v>23</v>
      </c>
      <c r="B26" s="7" t="inlineStr">
        <is>
          <t>Sun 2 Aug</t>
        </is>
      </c>
      <c r="C26" s="7" t="inlineStr">
        <is>
          <t>Denmark 🇩🇰</t>
        </is>
      </c>
      <c r="D26" s="7" t="inlineStr">
        <is>
          <t>Copenhagen</t>
        </is>
      </c>
      <c r="E26" s="7" t="inlineStr">
        <is>
          <t>Danhostel Copenhagen City (H. C. Andersens Boulevard 50) ✓ Booked</t>
        </is>
      </c>
      <c r="F26" s="7" t="inlineStr">
        <is>
          <t>AMS → fly KLM AMS→CPH</t>
        </is>
      </c>
      <c r="G26" s="7" t="inlineStr">
        <is>
          <t>✈ 1h 25min</t>
        </is>
      </c>
      <c r="H26" s="7" t="inlineStr">
        <is>
          <t>10:00 Sun Mass / 17:00 airport</t>
        </is>
      </c>
      <c r="I26" s="7" t="inlineStr">
        <is>
          <t>AMS Sun Mass at Sint-Nicolaaskerk 10:30. Brunch with cousin. Return car. KLM 19:00 AMS→CPH 20:30.</t>
        </is>
      </c>
    </row>
    <row r="27" ht="15.75" customHeight="1" s="38">
      <c r="A27" s="8" t="n">
        <v>24</v>
      </c>
      <c r="B27" s="8" t="inlineStr">
        <is>
          <t>Mon 3 Aug</t>
        </is>
      </c>
      <c r="C27" s="8" t="inlineStr">
        <is>
          <t>Sweden 🇸🇪</t>
        </is>
      </c>
      <c r="D27" s="8" t="inlineStr">
        <is>
          <t>Gothenburg</t>
        </is>
      </c>
      <c r="E27" s="8" t="inlineStr">
        <is>
          <t>Sister's place 💙</t>
        </is>
      </c>
      <c r="F27" s="8" t="inlineStr">
        <is>
          <t>CPH → Gothenburg X2000</t>
        </is>
      </c>
      <c r="G27" s="8" t="inlineStr">
        <is>
          <t>🚆 3h 40min</t>
        </is>
      </c>
      <c r="H27" s="8" t="inlineStr">
        <is>
          <t>13:00 X2000</t>
        </is>
      </c>
      <c r="I27" s="8" t="inlineStr">
        <is>
          <t>CPH morning Nyhavn + Tivoli. X2000 train via Öresund Bridge. Sister pickup 16:40.</t>
        </is>
      </c>
    </row>
    <row r="28" ht="15.75" customHeight="1" s="38">
      <c r="A28" s="8" t="n">
        <v>25</v>
      </c>
      <c r="B28" s="8" t="inlineStr">
        <is>
          <t>Tue 4 Aug</t>
        </is>
      </c>
      <c r="C28" s="8" t="inlineStr">
        <is>
          <t>Sweden 🇸🇪</t>
        </is>
      </c>
      <c r="D28" s="8" t="inlineStr">
        <is>
          <t>Gothenburg</t>
        </is>
      </c>
      <c r="E28" s="8" t="inlineStr">
        <is>
          <t>Sister's place 💙</t>
        </is>
      </c>
      <c r="F28" s="8" t="inlineStr">
        <is>
          <t>Gothenburg full day</t>
        </is>
      </c>
      <c r="G28" s="8" t="inlineStr">
        <is>
          <t>— local</t>
        </is>
      </c>
      <c r="H28" s="8" t="inlineStr">
        <is>
          <t>Slow morning</t>
        </is>
      </c>
      <c r="I28" s="8" t="inlineStr">
        <is>
          <t>Full sister day. Liseberg, Haga cinnamon buns, archipelago boat. Family time.</t>
        </is>
      </c>
    </row>
    <row r="29" ht="15.75" customHeight="1" s="38">
      <c r="A29" s="6" t="inlineStr">
        <is>
          <t>—</t>
        </is>
      </c>
      <c r="B29" s="6" t="inlineStr">
        <is>
          <t>Wed 5 Aug</t>
        </is>
      </c>
      <c r="C29" s="6" t="inlineStr">
        <is>
          <t>Germany 🇩🇪</t>
        </is>
      </c>
      <c r="D29" s="6" t="inlineStr">
        <is>
          <t>Munich</t>
        </is>
      </c>
      <c r="E29" s="6" t="inlineStr">
        <is>
          <t>Novotel MUC Airport (TBD)</t>
        </is>
      </c>
      <c r="F29" s="6" t="inlineStr">
        <is>
          <t>Gothenburg → Munich (fly)</t>
        </is>
      </c>
      <c r="G29" s="6" t="inlineStr">
        <is>
          <t>✈ ~2 hrs</t>
        </is>
      </c>
      <c r="H29" s="9" t="inlineStr">
        <is>
          <t>06:30 GOT</t>
        </is>
      </c>
      <c r="I29" s="6" t="inlineStr">
        <is>
          <t>Wake 05:00. Taxi 05:20. GOT→MUC, land 08:30. Novotel MUC overnight ~€60–80 day-use OR full overnight. Optional Munich city via S-Bahn. Airport by 21:00.</t>
        </is>
      </c>
    </row>
    <row r="30" ht="15.75" customHeight="1" s="38">
      <c r="A30" s="6" t="inlineStr">
        <is>
          <t>—</t>
        </is>
      </c>
      <c r="B30" s="6" t="inlineStr">
        <is>
          <t>Thu 6 Aug</t>
        </is>
      </c>
      <c r="C30" s="6" t="inlineStr">
        <is>
          <t>In transit 🇩🇪→🇨🇳</t>
        </is>
      </c>
      <c r="D30" s="6" t="inlineStr">
        <is>
          <t>Munich → Beijing</t>
        </is>
      </c>
      <c r="E30" s="6" t="inlineStr">
        <is>
          <t>—</t>
        </is>
      </c>
      <c r="F30" s="6" t="inlineStr">
        <is>
          <t>Munich → Beijing (CA962)</t>
        </is>
      </c>
      <c r="G30" s="6" t="inlineStr">
        <is>
          <t>✈ 9h 45m</t>
        </is>
      </c>
      <c r="H30" s="6" t="inlineStr">
        <is>
          <t>13:00 depart</t>
        </is>
      </c>
      <c r="I30" s="6" t="inlineStr">
        <is>
          <t>Check-in MUC T2 by 10:30, board 11:00. Land PEK 04:45 Fri 7 Aug. Rest ~3hrs. Great Wall at Mutianyu. Back T3 by 21:00.</t>
        </is>
      </c>
    </row>
    <row r="31" ht="15.75" customHeight="1" s="38">
      <c r="A31" s="6" t="inlineStr">
        <is>
          <t>—</t>
        </is>
      </c>
      <c r="B31" s="6" t="inlineStr">
        <is>
          <t>Sat 8 Aug</t>
        </is>
      </c>
      <c r="C31" s="6" t="inlineStr">
        <is>
          <t>New Zealand 🇳🇿</t>
        </is>
      </c>
      <c r="D31" s="6" t="inlineStr">
        <is>
          <t>Auckland 🏠</t>
        </is>
      </c>
      <c r="E31" s="6" t="inlineStr">
        <is>
          <t>—</t>
        </is>
      </c>
      <c r="F31" s="6" t="inlineStr">
        <is>
          <t>Beijing → Auckland (CA783)</t>
        </is>
      </c>
      <c r="G31" s="6" t="inlineStr">
        <is>
          <t>✈ 12h 25m</t>
        </is>
      </c>
      <c r="H31" s="6" t="inlineStr">
        <is>
          <t>00:05 depart PEK</t>
        </is>
      </c>
      <c r="I31" s="6" t="inlineStr">
        <is>
          <t>CA783 PEK 00:05 → AKL 16:30. 25 nights, 23 destinations, two Beijing stopovers, sister visit — welcome home.</t>
        </is>
      </c>
    </row>
    <row r="32" ht="15.75" customHeight="1" s="3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15.75" customHeight="1" s="38">
      <c r="A33" s="2" t="n"/>
      <c r="B33" s="2" t="n"/>
      <c r="C33" s="2" t="n"/>
      <c r="D33" s="2" t="n"/>
      <c r="E33" s="2" t="n"/>
      <c r="F33" s="2" t="n"/>
      <c r="I33" s="2" t="n"/>
    </row>
    <row r="34" ht="15.75" customHeight="1" s="38">
      <c r="A34" s="2" t="n"/>
      <c r="B34" s="2" t="n"/>
      <c r="C34" s="2" t="n"/>
      <c r="D34" s="2" t="n"/>
      <c r="E34" s="2" t="n"/>
      <c r="F34" s="2" t="n"/>
      <c r="I34" s="2" t="n"/>
    </row>
    <row r="35" ht="15.75" customHeight="1" s="38">
      <c r="A35" s="2" t="n"/>
      <c r="B35" s="2" t="n"/>
      <c r="C35" s="2" t="n"/>
      <c r="D35" s="2" t="n"/>
      <c r="E35" s="2" t="n"/>
      <c r="F35" s="2" t="n"/>
      <c r="I35" s="2" t="n"/>
    </row>
    <row r="36" ht="15.75" customHeight="1" s="38">
      <c r="A36" s="2" t="n"/>
      <c r="B36" s="2" t="n"/>
      <c r="C36" s="2" t="n"/>
      <c r="D36" s="2" t="n"/>
      <c r="E36" s="2" t="n"/>
      <c r="F36" s="2" t="n"/>
      <c r="I36" s="2" t="n"/>
    </row>
    <row r="37" ht="15.75" customHeight="1" s="38">
      <c r="A37" s="2" t="n"/>
      <c r="B37" s="2" t="n"/>
      <c r="C37" s="2" t="n"/>
      <c r="D37" s="2" t="n"/>
      <c r="E37" s="2" t="n"/>
      <c r="F37" s="2" t="n"/>
      <c r="I37" s="2" t="n"/>
    </row>
    <row r="38" ht="15.75" customHeight="1" s="38">
      <c r="A38" s="2" t="n"/>
      <c r="B38" s="2" t="n"/>
      <c r="C38" s="2" t="n"/>
      <c r="D38" s="2" t="n"/>
      <c r="E38" s="2" t="n"/>
      <c r="F38" s="2" t="n"/>
      <c r="I38" s="2" t="n"/>
    </row>
    <row r="39" ht="15.75" customHeight="1" s="38">
      <c r="A39" s="2" t="n"/>
      <c r="B39" s="2" t="n"/>
      <c r="C39" s="2" t="n"/>
      <c r="D39" s="2" t="n"/>
      <c r="E39" s="2" t="n"/>
      <c r="F39" s="2" t="n"/>
      <c r="I39" s="2" t="n"/>
    </row>
    <row r="40" ht="15.75" customHeight="1" s="38">
      <c r="A40" s="2" t="n"/>
      <c r="B40" s="2" t="n"/>
      <c r="C40" s="2" t="n"/>
      <c r="D40" s="2" t="n"/>
      <c r="E40" s="2" t="n"/>
      <c r="F40" s="2" t="n"/>
      <c r="I40" s="2" t="n"/>
      <c r="J40" s="2" t="inlineStr">
        <is>
          <t>Meals</t>
        </is>
      </c>
      <c r="K40" s="2">
        <f>150*28</f>
        <v/>
      </c>
    </row>
    <row r="41" ht="15.75" customHeight="1" s="38">
      <c r="A41" s="2" t="inlineStr">
        <is>
          <t>Fuel</t>
        </is>
      </c>
      <c r="B41" s="2" t="n"/>
      <c r="C41" s="2" t="n"/>
      <c r="D41" s="2" t="n"/>
      <c r="E41" s="2" t="n"/>
      <c r="F41" s="2" t="n"/>
      <c r="I41" s="2" t="n"/>
      <c r="J41" s="2" t="inlineStr">
        <is>
          <t>Fuel</t>
        </is>
      </c>
      <c r="K41" s="2" t="n">
        <v>3000</v>
      </c>
    </row>
    <row r="42" ht="15.75" customHeight="1" s="38">
      <c r="A42" s="2" t="n"/>
      <c r="B42" s="2" t="n"/>
      <c r="C42" s="2" t="n"/>
      <c r="D42" s="2" t="n"/>
      <c r="E42" s="2" t="n"/>
      <c r="F42" s="2" t="n"/>
      <c r="I42" s="2" t="n"/>
      <c r="K42" s="2">
        <f>SUM(K2:K41)</f>
        <v/>
      </c>
    </row>
    <row r="43" ht="15.75" customHeight="1" s="38">
      <c r="A43" s="2" t="n"/>
      <c r="B43" s="2" t="n"/>
      <c r="C43" s="2" t="n"/>
      <c r="D43" s="2" t="n"/>
      <c r="E43" s="2" t="n"/>
      <c r="F43" s="2" t="n"/>
      <c r="I43" s="2" t="n"/>
    </row>
    <row r="44" ht="15.75" customHeight="1" s="38">
      <c r="A44" s="2" t="n"/>
      <c r="B44" s="2" t="n"/>
      <c r="C44" s="2" t="n"/>
      <c r="D44" s="2" t="n"/>
      <c r="E44" s="2" t="n"/>
      <c r="F44" s="2" t="n"/>
      <c r="I44" s="2" t="n"/>
    </row>
    <row r="45" ht="15.75" customHeight="1" s="38">
      <c r="A45" s="2" t="n"/>
      <c r="B45" s="2" t="n"/>
      <c r="C45" s="2" t="n"/>
      <c r="D45" s="2" t="n"/>
      <c r="E45" s="2" t="n"/>
      <c r="F45" s="2" t="n"/>
      <c r="I45" s="2" t="n"/>
    </row>
    <row r="46" ht="15.75" customHeight="1" s="38">
      <c r="A46" s="2" t="n"/>
      <c r="B46" s="2" t="n"/>
      <c r="C46" s="2" t="n"/>
      <c r="D46" s="2" t="n"/>
      <c r="E46" s="2" t="n"/>
      <c r="F46" s="2" t="n"/>
      <c r="I46" s="2" t="n"/>
    </row>
    <row r="47" ht="15.75" customHeight="1" s="38">
      <c r="A47" s="2" t="n"/>
      <c r="B47" s="2" t="n"/>
      <c r="C47" s="2" t="n"/>
      <c r="D47" s="2" t="n"/>
      <c r="E47" s="2" t="n"/>
      <c r="F47" s="2" t="n"/>
      <c r="I47" s="2" t="n"/>
      <c r="J47" s="2" t="inlineStr">
        <is>
          <t>Rental cash saving</t>
        </is>
      </c>
      <c r="K47" s="2" t="n">
        <v>5000</v>
      </c>
    </row>
    <row r="48" ht="15.75" customHeight="1" s="38">
      <c r="A48" s="2" t="n"/>
      <c r="B48" s="2" t="n"/>
      <c r="C48" s="2" t="n"/>
      <c r="D48" s="2" t="n"/>
      <c r="E48" s="2" t="n"/>
      <c r="F48" s="2" t="n"/>
      <c r="I48" s="2" t="n"/>
      <c r="J48" s="2" t="inlineStr">
        <is>
          <t>Cash back Kiwi</t>
        </is>
      </c>
      <c r="K48" s="2" t="n">
        <v>11560</v>
      </c>
    </row>
    <row r="49" ht="15.75" customHeight="1" s="38">
      <c r="A49" s="25" t="inlineStr">
        <is>
          <t>Hotel — MUC airport (Wed 5 Aug)</t>
        </is>
      </c>
      <c r="B49" s="25" t="inlineStr">
        <is>
          <t>1 night, family room</t>
        </is>
      </c>
      <c r="C49" s="25" t="n">
        <v>250</v>
      </c>
      <c r="D49" s="25" t="inlineStr">
        <is>
          <t>EUR</t>
        </is>
      </c>
      <c r="E49" s="25" t="inlineStr">
        <is>
          <t>Hilton MUC Airport ~€320 / Premier Inn ~€140 — midpoint placeholder</t>
        </is>
      </c>
      <c r="F49" s="2" t="n"/>
      <c r="I49" s="2" t="n"/>
    </row>
    <row r="50" ht="15.75" customHeight="1" s="38">
      <c r="A50" s="2" t="n"/>
      <c r="B50" s="2" t="n"/>
      <c r="C50" s="2" t="n"/>
      <c r="D50" s="2" t="n"/>
      <c r="E50" s="2" t="n"/>
      <c r="F50" s="2" t="n"/>
      <c r="I50" s="2" t="n"/>
    </row>
    <row r="51" ht="15.75" customHeight="1" s="38">
      <c r="A51" s="2" t="n"/>
      <c r="B51" s="2" t="n"/>
      <c r="C51" s="2" t="n"/>
      <c r="D51" s="2" t="n"/>
      <c r="E51" s="2" t="n"/>
      <c r="F51" s="2" t="n"/>
      <c r="I51" s="2" t="n"/>
    </row>
    <row r="52" ht="15.75" customHeight="1" s="38">
      <c r="A52" s="2" t="n"/>
      <c r="B52" s="2" t="n"/>
      <c r="C52" s="2" t="n"/>
      <c r="D52" s="2" t="n"/>
      <c r="E52" s="2" t="n"/>
      <c r="F52" s="2" t="n"/>
      <c r="I52" s="2" t="n"/>
    </row>
    <row r="53" ht="15.75" customHeight="1" s="38">
      <c r="A53" s="2" t="n"/>
      <c r="B53" s="2" t="n"/>
      <c r="C53" s="2" t="n"/>
      <c r="D53" s="2" t="n"/>
      <c r="E53" s="2" t="n"/>
      <c r="F53" s="2" t="n"/>
      <c r="I53" s="2" t="n"/>
    </row>
    <row r="54" ht="15.75" customHeight="1" s="38">
      <c r="A54" s="2" t="n"/>
      <c r="B54" s="2" t="n"/>
      <c r="C54" s="2" t="n"/>
      <c r="D54" s="2" t="n"/>
      <c r="E54" s="2" t="n"/>
      <c r="F54" s="2" t="n"/>
      <c r="I54" s="2" t="n"/>
    </row>
    <row r="55" ht="15.75" customHeight="1" s="38">
      <c r="A55" s="2" t="n"/>
      <c r="B55" s="2" t="n"/>
      <c r="C55" s="2" t="n"/>
      <c r="D55" s="2" t="n"/>
      <c r="E55" s="2" t="n"/>
      <c r="F55" s="2" t="n"/>
      <c r="I55" s="2" t="n"/>
    </row>
    <row r="56" ht="15.75" customHeight="1" s="38">
      <c r="A56" s="2" t="n"/>
      <c r="B56" s="2" t="n"/>
      <c r="C56" s="2" t="n"/>
      <c r="D56" s="2" t="n"/>
      <c r="E56" s="2" t="n"/>
      <c r="F56" s="2" t="n"/>
      <c r="I56" s="2" t="n"/>
    </row>
    <row r="57" ht="15.75" customHeight="1" s="38">
      <c r="A57" s="2" t="n"/>
      <c r="B57" s="2" t="n"/>
      <c r="C57" s="2" t="n"/>
      <c r="D57" s="2" t="n"/>
      <c r="E57" s="2" t="n"/>
      <c r="F57" s="2" t="n"/>
      <c r="I57" s="2" t="n"/>
    </row>
    <row r="58" ht="15.75" customHeight="1" s="38">
      <c r="A58" s="2" t="n"/>
      <c r="B58" s="2" t="n"/>
      <c r="C58" s="2" t="n"/>
      <c r="D58" s="2" t="n"/>
      <c r="E58" s="2" t="n"/>
      <c r="F58" s="2" t="n"/>
      <c r="I58" s="2" t="n"/>
    </row>
    <row r="59" ht="15.75" customHeight="1" s="38">
      <c r="A59" s="2" t="n"/>
      <c r="B59" s="2" t="n"/>
      <c r="C59" s="2" t="n"/>
      <c r="D59" s="2" t="n"/>
      <c r="E59" s="2" t="n"/>
      <c r="F59" s="2" t="n"/>
      <c r="I59" s="2" t="n"/>
    </row>
    <row r="60" ht="15.75" customHeight="1" s="38">
      <c r="A60" s="2" t="n"/>
      <c r="B60" s="2" t="n"/>
      <c r="C60" s="2" t="n"/>
      <c r="D60" s="2" t="n"/>
      <c r="E60" s="2" t="n"/>
      <c r="F60" s="2" t="n"/>
      <c r="I60" s="2" t="n"/>
    </row>
    <row r="61" ht="15.75" customHeight="1" s="38">
      <c r="A61" s="2" t="n"/>
      <c r="B61" s="2" t="n"/>
      <c r="C61" s="2" t="n"/>
      <c r="D61" s="2" t="n"/>
      <c r="E61" s="2" t="n"/>
      <c r="F61" s="2" t="n"/>
      <c r="I61" s="2" t="n"/>
    </row>
    <row r="62" ht="15.75" customHeight="1" s="38">
      <c r="A62" s="2" t="n"/>
      <c r="B62" s="2" t="n"/>
      <c r="C62" s="2" t="n"/>
      <c r="D62" s="2" t="n"/>
      <c r="E62" s="2" t="n"/>
      <c r="F62" s="2" t="n"/>
      <c r="I62" s="2" t="n"/>
    </row>
    <row r="63" ht="15.75" customHeight="1" s="38">
      <c r="A63" s="2" t="n"/>
      <c r="B63" s="2" t="n"/>
      <c r="C63" s="2" t="n"/>
      <c r="D63" s="2" t="n"/>
      <c r="E63" s="2" t="n"/>
      <c r="F63" s="2" t="n"/>
      <c r="I63" s="2" t="n"/>
    </row>
    <row r="64" ht="15.75" customHeight="1" s="38">
      <c r="A64" s="2" t="n"/>
      <c r="B64" s="2" t="n"/>
      <c r="C64" s="2" t="n"/>
      <c r="D64" s="2" t="n"/>
      <c r="E64" s="2" t="n"/>
      <c r="F64" s="2" t="n"/>
      <c r="I64" s="2" t="n"/>
    </row>
    <row r="65" ht="15.75" customHeight="1" s="38">
      <c r="A65" s="2" t="n"/>
      <c r="B65" s="2" t="n"/>
      <c r="C65" s="2" t="n"/>
      <c r="D65" s="2" t="n"/>
      <c r="E65" s="2" t="n"/>
      <c r="F65" s="2" t="n"/>
      <c r="I65" s="2" t="n"/>
    </row>
    <row r="66" ht="15.75" customHeight="1" s="38">
      <c r="A66" s="2" t="n"/>
      <c r="B66" s="2" t="n"/>
      <c r="C66" s="2" t="n"/>
      <c r="D66" s="2" t="n"/>
      <c r="E66" s="2" t="n"/>
      <c r="F66" s="2" t="n"/>
      <c r="I66" s="2" t="n"/>
    </row>
    <row r="67" ht="15.75" customHeight="1" s="38">
      <c r="A67" s="2" t="n"/>
      <c r="B67" s="2" t="n"/>
      <c r="C67" s="2" t="n"/>
      <c r="D67" s="2" t="n"/>
      <c r="E67" s="2" t="n"/>
      <c r="F67" s="2" t="n"/>
      <c r="I67" s="2" t="n"/>
    </row>
    <row r="68" ht="15.75" customHeight="1" s="38">
      <c r="A68" s="2" t="n"/>
      <c r="B68" s="2" t="n"/>
      <c r="C68" s="2" t="n"/>
      <c r="D68" s="2" t="n"/>
      <c r="E68" s="2" t="n"/>
      <c r="F68" s="2" t="n"/>
      <c r="I68" s="2" t="n"/>
    </row>
    <row r="69" ht="15.75" customHeight="1" s="38">
      <c r="A69" s="2" t="n"/>
      <c r="B69" s="2" t="n"/>
      <c r="C69" s="2" t="n"/>
      <c r="D69" s="2" t="n"/>
      <c r="E69" s="2" t="n"/>
      <c r="F69" s="2" t="n"/>
      <c r="I69" s="2" t="n"/>
    </row>
    <row r="70" ht="15.75" customHeight="1" s="38">
      <c r="A70" s="2" t="n"/>
      <c r="B70" s="2" t="n"/>
      <c r="C70" s="2" t="n"/>
      <c r="D70" s="2" t="n"/>
      <c r="E70" s="2" t="n"/>
      <c r="F70" s="2" t="n"/>
      <c r="I70" s="2" t="n"/>
    </row>
    <row r="71" ht="15.75" customHeight="1" s="38">
      <c r="A71" s="2" t="n"/>
      <c r="B71" s="2" t="n"/>
      <c r="C71" s="2" t="n"/>
      <c r="D71" s="2" t="n"/>
      <c r="E71" s="2" t="n"/>
      <c r="F71" s="2" t="n"/>
      <c r="I71" s="2" t="n"/>
    </row>
    <row r="72" ht="15.75" customHeight="1" s="38">
      <c r="A72" s="2" t="n"/>
      <c r="B72" s="2" t="n"/>
      <c r="C72" s="2" t="n"/>
      <c r="D72" s="2" t="n"/>
      <c r="E72" s="2" t="n"/>
      <c r="F72" s="2" t="n"/>
      <c r="I72" s="2" t="n"/>
    </row>
    <row r="73" ht="15.75" customHeight="1" s="38">
      <c r="A73" s="2" t="n"/>
      <c r="B73" s="2" t="n"/>
      <c r="C73" s="2" t="n"/>
      <c r="D73" s="2" t="n"/>
      <c r="E73" s="2" t="n"/>
      <c r="F73" s="2" t="n"/>
      <c r="I73" s="2" t="n"/>
    </row>
    <row r="74" ht="15.75" customHeight="1" s="38">
      <c r="A74" s="2" t="n"/>
      <c r="B74" s="2" t="n"/>
      <c r="C74" s="2" t="n"/>
      <c r="D74" s="2" t="n"/>
      <c r="E74" s="2" t="n"/>
      <c r="F74" s="2" t="n"/>
      <c r="I74" s="2" t="n"/>
    </row>
    <row r="75" ht="15.75" customHeight="1" s="38">
      <c r="A75" s="2" t="n"/>
      <c r="B75" s="2" t="n"/>
      <c r="C75" s="2" t="n"/>
      <c r="D75" s="2" t="n"/>
      <c r="E75" s="2" t="n"/>
      <c r="F75" s="2" t="n"/>
      <c r="I75" s="2" t="n"/>
    </row>
    <row r="76" ht="15.75" customHeight="1" s="38">
      <c r="A76" s="2" t="n"/>
      <c r="B76" s="2" t="n"/>
      <c r="C76" s="2" t="n"/>
      <c r="D76" s="2" t="n"/>
      <c r="E76" s="2" t="n"/>
      <c r="F76" s="2" t="n"/>
      <c r="I76" s="2" t="n"/>
    </row>
    <row r="77" ht="15.75" customHeight="1" s="38">
      <c r="A77" s="2" t="n"/>
      <c r="B77" s="2" t="n"/>
      <c r="C77" s="2" t="n"/>
      <c r="D77" s="2" t="n"/>
      <c r="E77" s="2" t="n"/>
      <c r="F77" s="2" t="n"/>
      <c r="I77" s="2" t="n"/>
    </row>
    <row r="78" ht="15.75" customHeight="1" s="38">
      <c r="A78" s="2" t="n"/>
      <c r="B78" s="2" t="n"/>
      <c r="C78" s="2" t="n"/>
      <c r="D78" s="2" t="n"/>
      <c r="E78" s="2" t="n"/>
      <c r="F78" s="2" t="n"/>
      <c r="I78" s="2" t="n"/>
    </row>
    <row r="79" ht="15.75" customHeight="1" s="38">
      <c r="A79" s="2" t="n"/>
      <c r="B79" s="2" t="n"/>
      <c r="C79" s="2" t="n"/>
      <c r="D79" s="2" t="n"/>
      <c r="E79" s="2" t="n"/>
      <c r="F79" s="2" t="n"/>
      <c r="I79" s="2" t="n"/>
    </row>
    <row r="80" ht="15.75" customHeight="1" s="38">
      <c r="A80" s="2" t="n"/>
      <c r="B80" s="2" t="n"/>
      <c r="C80" s="2" t="n"/>
      <c r="D80" s="2" t="n"/>
      <c r="E80" s="2" t="n"/>
      <c r="F80" s="2" t="n"/>
      <c r="I80" s="2" t="n"/>
    </row>
    <row r="81" ht="15.75" customHeight="1" s="38">
      <c r="A81" s="2" t="n"/>
      <c r="B81" s="2" t="n"/>
      <c r="C81" s="2" t="n"/>
      <c r="D81" s="2" t="n"/>
      <c r="E81" s="2" t="n"/>
      <c r="F81" s="2" t="n"/>
      <c r="I81" s="2" t="n"/>
    </row>
    <row r="82" ht="15.75" customHeight="1" s="38">
      <c r="A82" s="2" t="n"/>
      <c r="B82" s="2" t="n"/>
      <c r="C82" s="2" t="n"/>
      <c r="D82" s="2" t="n"/>
      <c r="E82" s="2" t="n"/>
      <c r="F82" s="2" t="n"/>
      <c r="I82" s="2" t="n"/>
    </row>
    <row r="83" ht="15.75" customHeight="1" s="38">
      <c r="A83" s="2" t="n"/>
      <c r="B83" s="2" t="n"/>
      <c r="C83" s="2" t="n"/>
      <c r="D83" s="2" t="n"/>
      <c r="E83" s="2" t="n"/>
      <c r="F83" s="2" t="n"/>
      <c r="I83" s="2" t="n"/>
    </row>
    <row r="84" ht="15.75" customHeight="1" s="38">
      <c r="A84" s="2" t="n"/>
      <c r="B84" s="2" t="n"/>
      <c r="C84" s="2" t="n"/>
      <c r="D84" s="2" t="n"/>
      <c r="E84" s="2" t="n"/>
      <c r="F84" s="2" t="n"/>
      <c r="I84" s="2" t="n"/>
    </row>
    <row r="85" ht="15.75" customHeight="1" s="38">
      <c r="A85" s="2" t="n"/>
      <c r="B85" s="2" t="n"/>
      <c r="C85" s="2" t="n"/>
      <c r="D85" s="2" t="n"/>
      <c r="E85" s="2" t="n"/>
      <c r="F85" s="2" t="n"/>
      <c r="I85" s="2" t="n"/>
    </row>
    <row r="86" ht="15.75" customHeight="1" s="38">
      <c r="A86" s="2" t="n"/>
      <c r="B86" s="2" t="n"/>
      <c r="C86" s="2" t="n"/>
      <c r="D86" s="2" t="n"/>
      <c r="E86" s="2" t="n"/>
      <c r="F86" s="2" t="n"/>
      <c r="I86" s="2" t="n"/>
    </row>
    <row r="87" ht="15.75" customHeight="1" s="38">
      <c r="A87" s="2" t="n"/>
      <c r="B87" s="2" t="n"/>
      <c r="C87" s="2" t="n"/>
      <c r="D87" s="2" t="n"/>
      <c r="E87" s="2" t="n"/>
      <c r="F87" s="2" t="n"/>
      <c r="I87" s="2" t="n"/>
    </row>
    <row r="88" ht="15.75" customHeight="1" s="38">
      <c r="A88" s="2" t="n"/>
      <c r="B88" s="2" t="n"/>
      <c r="C88" s="2" t="n"/>
      <c r="D88" s="2" t="n"/>
      <c r="E88" s="2" t="n"/>
      <c r="F88" s="2" t="n"/>
      <c r="I88" s="2" t="n"/>
    </row>
    <row r="89" ht="15.75" customHeight="1" s="38">
      <c r="A89" s="2" t="n"/>
      <c r="B89" s="2" t="n"/>
      <c r="C89" s="2" t="n"/>
      <c r="D89" s="2" t="n"/>
      <c r="E89" s="2" t="n"/>
      <c r="F89" s="2" t="n"/>
      <c r="I89" s="2" t="n"/>
    </row>
    <row r="90" ht="15.75" customHeight="1" s="38">
      <c r="A90" s="2" t="n"/>
      <c r="B90" s="2" t="n"/>
      <c r="C90" s="2" t="n"/>
      <c r="D90" s="2" t="n"/>
      <c r="E90" s="2" t="n"/>
      <c r="F90" s="2" t="n"/>
      <c r="I90" s="2" t="n"/>
    </row>
    <row r="91" ht="15.75" customHeight="1" s="38">
      <c r="A91" s="2" t="n"/>
      <c r="B91" s="2" t="n"/>
      <c r="C91" s="2" t="n"/>
      <c r="D91" s="2" t="n"/>
      <c r="E91" s="2" t="n"/>
      <c r="F91" s="2" t="n"/>
      <c r="I91" s="2" t="n"/>
    </row>
    <row r="92" ht="15.75" customHeight="1" s="38">
      <c r="A92" s="2" t="n"/>
      <c r="B92" s="2" t="n"/>
      <c r="C92" s="2" t="n"/>
      <c r="D92" s="2" t="n"/>
      <c r="E92" s="2" t="n"/>
      <c r="F92" s="2" t="n"/>
      <c r="I92" s="2" t="n"/>
    </row>
    <row r="93" ht="15.75" customHeight="1" s="38">
      <c r="A93" s="2" t="n"/>
      <c r="B93" s="2" t="n"/>
      <c r="C93" s="2" t="n"/>
      <c r="D93" s="2" t="n"/>
      <c r="E93" s="2" t="n"/>
      <c r="F93" s="2" t="n"/>
      <c r="I93" s="2" t="n"/>
    </row>
    <row r="94" ht="15.75" customHeight="1" s="38">
      <c r="A94" s="2" t="n"/>
      <c r="B94" s="2" t="n"/>
      <c r="C94" s="2" t="n"/>
      <c r="D94" s="2" t="n"/>
      <c r="E94" s="2" t="n"/>
      <c r="F94" s="2" t="n"/>
      <c r="I94" s="2" t="n"/>
    </row>
    <row r="95" ht="15.75" customHeight="1" s="38">
      <c r="A95" s="2" t="n"/>
      <c r="B95" s="2" t="n"/>
      <c r="C95" s="2" t="n"/>
      <c r="D95" s="2" t="n"/>
      <c r="E95" s="2" t="n"/>
      <c r="F95" s="2" t="n"/>
      <c r="I95" s="2" t="n"/>
    </row>
    <row r="96" ht="15.75" customHeight="1" s="38">
      <c r="A96" s="2" t="n"/>
      <c r="B96" s="2" t="n"/>
      <c r="C96" s="2" t="n"/>
      <c r="D96" s="2" t="n"/>
      <c r="E96" s="2" t="n"/>
      <c r="F96" s="2" t="n"/>
      <c r="I96" s="2" t="n"/>
    </row>
    <row r="97" ht="15.75" customHeight="1" s="38">
      <c r="A97" s="2" t="n"/>
      <c r="B97" s="2" t="n"/>
      <c r="C97" s="2" t="n"/>
      <c r="D97" s="2" t="n"/>
      <c r="E97" s="2" t="n"/>
      <c r="F97" s="2" t="n"/>
      <c r="I97" s="2" t="n"/>
    </row>
    <row r="98" ht="15.75" customHeight="1" s="38">
      <c r="A98" s="2" t="n"/>
      <c r="B98" s="2" t="n"/>
      <c r="C98" s="2" t="n"/>
      <c r="D98" s="2" t="n"/>
      <c r="E98" s="2" t="n"/>
      <c r="F98" s="2" t="n"/>
      <c r="I98" s="2" t="n"/>
    </row>
    <row r="99" ht="15.75" customHeight="1" s="38">
      <c r="A99" s="2" t="n"/>
      <c r="B99" s="2" t="n"/>
      <c r="C99" s="2" t="n"/>
      <c r="D99" s="2" t="n"/>
      <c r="E99" s="2" t="n"/>
      <c r="F99" s="2" t="n"/>
      <c r="I99" s="2" t="n"/>
    </row>
    <row r="100" ht="15.75" customHeight="1" s="38">
      <c r="A100" s="2" t="n"/>
      <c r="B100" s="2" t="n"/>
      <c r="C100" s="2" t="n"/>
      <c r="D100" s="2" t="n"/>
      <c r="E100" s="2" t="n"/>
      <c r="F100" s="2" t="n"/>
      <c r="I100" s="2" t="n"/>
    </row>
    <row r="101" ht="15.75" customHeight="1" s="38">
      <c r="A101" s="2" t="n"/>
      <c r="B101" s="2" t="n"/>
      <c r="C101" s="2" t="n"/>
      <c r="D101" s="2" t="n"/>
      <c r="E101" s="2" t="n"/>
      <c r="F101" s="2" t="n"/>
      <c r="I101" s="2" t="n"/>
    </row>
    <row r="102" ht="15.75" customHeight="1" s="38">
      <c r="A102" s="2" t="n"/>
      <c r="B102" s="2" t="n"/>
      <c r="C102" s="2" t="n"/>
      <c r="D102" s="2" t="n"/>
      <c r="E102" s="2" t="n"/>
      <c r="F102" s="2" t="n"/>
      <c r="I102" s="2" t="n"/>
    </row>
    <row r="103" ht="15.75" customHeight="1" s="38">
      <c r="A103" s="2" t="n"/>
      <c r="B103" s="2" t="n"/>
      <c r="C103" s="2" t="n"/>
      <c r="D103" s="2" t="n"/>
      <c r="E103" s="2" t="n"/>
      <c r="F103" s="2" t="n"/>
      <c r="I103" s="2" t="n"/>
    </row>
    <row r="104" ht="15.75" customHeight="1" s="38">
      <c r="A104" s="2" t="n"/>
      <c r="B104" s="2" t="n"/>
      <c r="C104" s="2" t="n"/>
      <c r="D104" s="2" t="n"/>
      <c r="E104" s="2" t="n"/>
      <c r="F104" s="2" t="n"/>
      <c r="I104" s="2" t="n"/>
    </row>
    <row r="105" ht="15.75" customHeight="1" s="38">
      <c r="A105" s="2" t="n"/>
      <c r="B105" s="2" t="n"/>
      <c r="C105" s="2" t="n"/>
      <c r="D105" s="2" t="n"/>
      <c r="E105" s="2" t="n"/>
      <c r="F105" s="2" t="n"/>
      <c r="I105" s="2" t="n"/>
    </row>
    <row r="106" ht="15.75" customHeight="1" s="38">
      <c r="A106" s="2" t="n"/>
      <c r="B106" s="2" t="n"/>
      <c r="C106" s="2" t="n"/>
      <c r="D106" s="2" t="n"/>
      <c r="E106" s="2" t="n"/>
      <c r="F106" s="2" t="n"/>
      <c r="I106" s="2" t="n"/>
    </row>
    <row r="107" ht="15.75" customHeight="1" s="38">
      <c r="A107" s="2" t="n"/>
      <c r="B107" s="2" t="n"/>
      <c r="C107" s="2" t="n"/>
      <c r="D107" s="2" t="n"/>
      <c r="E107" s="2" t="n"/>
      <c r="F107" s="2" t="n"/>
      <c r="I107" s="2" t="n"/>
    </row>
    <row r="108" ht="15.75" customHeight="1" s="38">
      <c r="A108" s="2" t="n"/>
      <c r="B108" s="2" t="n"/>
      <c r="C108" s="2" t="n"/>
      <c r="D108" s="2" t="n"/>
      <c r="E108" s="2" t="n"/>
      <c r="F108" s="2" t="n"/>
      <c r="I108" s="2" t="n"/>
    </row>
    <row r="109" ht="15.75" customHeight="1" s="38">
      <c r="A109" s="2" t="n"/>
      <c r="B109" s="2" t="n"/>
      <c r="C109" s="2" t="n"/>
      <c r="D109" s="2" t="n"/>
      <c r="E109" s="2" t="n"/>
      <c r="F109" s="2" t="n"/>
      <c r="I109" s="2" t="n"/>
    </row>
    <row r="110" ht="15.75" customHeight="1" s="38">
      <c r="A110" s="2" t="n"/>
      <c r="B110" s="2" t="n"/>
      <c r="C110" s="2" t="n"/>
      <c r="D110" s="2" t="n"/>
      <c r="E110" s="2" t="n"/>
      <c r="F110" s="2" t="n"/>
      <c r="I110" s="2" t="n"/>
    </row>
    <row r="111" ht="15.75" customHeight="1" s="38">
      <c r="A111" s="2" t="n"/>
      <c r="B111" s="2" t="n"/>
      <c r="C111" s="2" t="n"/>
      <c r="D111" s="2" t="n"/>
      <c r="E111" s="2" t="n"/>
      <c r="F111" s="2" t="n"/>
      <c r="I111" s="2" t="n"/>
    </row>
    <row r="112" ht="15.75" customHeight="1" s="38">
      <c r="A112" s="2" t="n"/>
      <c r="B112" s="2" t="n"/>
      <c r="C112" s="2" t="n"/>
      <c r="D112" s="2" t="n"/>
      <c r="E112" s="2" t="n"/>
      <c r="F112" s="2" t="n"/>
      <c r="I112" s="2" t="n"/>
    </row>
    <row r="113" ht="15.75" customHeight="1" s="38">
      <c r="A113" s="2" t="n"/>
      <c r="B113" s="2" t="n"/>
      <c r="C113" s="2" t="n"/>
      <c r="D113" s="2" t="n"/>
      <c r="E113" s="2" t="n"/>
      <c r="F113" s="2" t="n"/>
      <c r="I113" s="2" t="n"/>
    </row>
    <row r="114" ht="15.75" customHeight="1" s="38">
      <c r="A114" s="2" t="n"/>
      <c r="B114" s="2" t="n"/>
      <c r="C114" s="2" t="n"/>
      <c r="D114" s="2" t="n"/>
      <c r="E114" s="2" t="n"/>
      <c r="F114" s="2" t="n"/>
      <c r="I114" s="2" t="n"/>
    </row>
    <row r="115" ht="15.75" customHeight="1" s="38">
      <c r="A115" s="2" t="n"/>
      <c r="B115" s="2" t="n"/>
      <c r="C115" s="2" t="n"/>
      <c r="D115" s="2" t="n"/>
      <c r="E115" s="2" t="n"/>
      <c r="F115" s="2" t="n"/>
      <c r="I115" s="2" t="n"/>
    </row>
    <row r="116" ht="15.75" customHeight="1" s="38">
      <c r="A116" s="2" t="n"/>
      <c r="B116" s="2" t="n"/>
      <c r="C116" s="2" t="n"/>
      <c r="D116" s="2" t="n"/>
      <c r="E116" s="2" t="n"/>
      <c r="F116" s="2" t="n"/>
      <c r="I116" s="2" t="n"/>
    </row>
    <row r="117" ht="15.75" customHeight="1" s="38">
      <c r="A117" s="2" t="n"/>
      <c r="B117" s="2" t="n"/>
      <c r="C117" s="2" t="n"/>
      <c r="D117" s="2" t="n"/>
      <c r="E117" s="2" t="n"/>
      <c r="F117" s="2" t="n"/>
      <c r="I117" s="2" t="n"/>
    </row>
    <row r="118" ht="15.75" customHeight="1" s="38">
      <c r="A118" s="2" t="n"/>
      <c r="B118" s="2" t="n"/>
      <c r="C118" s="2" t="n"/>
      <c r="D118" s="2" t="n"/>
      <c r="E118" s="2" t="n"/>
      <c r="F118" s="2" t="n"/>
      <c r="I118" s="2" t="n"/>
    </row>
    <row r="119" ht="15.75" customHeight="1" s="38">
      <c r="A119" s="2" t="n"/>
      <c r="B119" s="2" t="n"/>
      <c r="C119" s="2" t="n"/>
      <c r="D119" s="2" t="n"/>
      <c r="E119" s="2" t="n"/>
      <c r="F119" s="2" t="n"/>
      <c r="I119" s="2" t="n"/>
    </row>
    <row r="120" ht="15.75" customHeight="1" s="38">
      <c r="A120" s="2" t="n"/>
      <c r="B120" s="2" t="n"/>
      <c r="C120" s="2" t="n"/>
      <c r="D120" s="2" t="n"/>
      <c r="E120" s="2" t="n"/>
      <c r="F120" s="2" t="n"/>
      <c r="I120" s="2" t="n"/>
    </row>
    <row r="121" ht="15.75" customHeight="1" s="38">
      <c r="A121" s="2" t="n"/>
      <c r="B121" s="2" t="n"/>
      <c r="C121" s="2" t="n"/>
      <c r="D121" s="2" t="n"/>
      <c r="E121" s="2" t="n"/>
      <c r="F121" s="2" t="n"/>
      <c r="I121" s="2" t="n"/>
    </row>
    <row r="122" ht="15.75" customHeight="1" s="38">
      <c r="A122" s="2" t="n"/>
      <c r="B122" s="2" t="n"/>
      <c r="C122" s="2" t="n"/>
      <c r="D122" s="2" t="n"/>
      <c r="E122" s="2" t="n"/>
      <c r="F122" s="2" t="n"/>
      <c r="I122" s="2" t="n"/>
    </row>
    <row r="123" ht="15.75" customHeight="1" s="38">
      <c r="A123" s="2" t="n"/>
      <c r="B123" s="2" t="n"/>
      <c r="C123" s="2" t="n"/>
      <c r="D123" s="2" t="n"/>
      <c r="E123" s="2" t="n"/>
      <c r="F123" s="2" t="n"/>
      <c r="I123" s="2" t="n"/>
    </row>
    <row r="124" ht="15.75" customHeight="1" s="38">
      <c r="A124" s="2" t="n"/>
      <c r="B124" s="2" t="n"/>
      <c r="C124" s="2" t="n"/>
      <c r="D124" s="2" t="n"/>
      <c r="E124" s="2" t="n"/>
      <c r="F124" s="2" t="n"/>
      <c r="I124" s="2" t="n"/>
    </row>
    <row r="125" ht="15.75" customHeight="1" s="38">
      <c r="A125" s="2" t="n"/>
      <c r="B125" s="2" t="n"/>
      <c r="C125" s="2" t="n"/>
      <c r="D125" s="2" t="n"/>
      <c r="E125" s="2" t="n"/>
      <c r="F125" s="2" t="n"/>
      <c r="I125" s="2" t="n"/>
    </row>
    <row r="126" ht="15.75" customHeight="1" s="38">
      <c r="A126" s="2" t="n"/>
      <c r="B126" s="2" t="n"/>
      <c r="C126" s="2" t="n"/>
      <c r="D126" s="2" t="n"/>
      <c r="E126" s="2" t="n"/>
      <c r="F126" s="2" t="n"/>
      <c r="I126" s="2" t="n"/>
    </row>
    <row r="127" ht="15.75" customHeight="1" s="38">
      <c r="A127" s="2" t="n"/>
      <c r="B127" s="2" t="n"/>
      <c r="C127" s="2" t="n"/>
      <c r="D127" s="2" t="n"/>
      <c r="E127" s="2" t="n"/>
      <c r="F127" s="2" t="n"/>
      <c r="I127" s="2" t="n"/>
    </row>
    <row r="128" ht="15.75" customHeight="1" s="38">
      <c r="A128" s="2" t="n"/>
      <c r="B128" s="2" t="n"/>
      <c r="C128" s="2" t="n"/>
      <c r="D128" s="2" t="n"/>
      <c r="E128" s="2" t="n"/>
      <c r="F128" s="2" t="n"/>
      <c r="I128" s="2" t="n"/>
    </row>
    <row r="129" ht="15.75" customHeight="1" s="38">
      <c r="A129" s="2" t="n"/>
      <c r="B129" s="2" t="n"/>
      <c r="C129" s="2" t="n"/>
      <c r="D129" s="2" t="n"/>
      <c r="E129" s="2" t="n"/>
      <c r="F129" s="2" t="n"/>
      <c r="I129" s="2" t="n"/>
    </row>
    <row r="130" ht="15.75" customHeight="1" s="38">
      <c r="A130" s="2" t="n"/>
      <c r="B130" s="2" t="n"/>
      <c r="C130" s="2" t="n"/>
      <c r="D130" s="2" t="n"/>
      <c r="E130" s="2" t="n"/>
      <c r="F130" s="2" t="n"/>
      <c r="I130" s="2" t="n"/>
    </row>
    <row r="131" ht="15.75" customHeight="1" s="38">
      <c r="A131" s="2" t="n"/>
      <c r="B131" s="2" t="n"/>
      <c r="C131" s="2" t="n"/>
      <c r="D131" s="2" t="n"/>
      <c r="E131" s="2" t="n"/>
      <c r="F131" s="2" t="n"/>
      <c r="I131" s="2" t="n"/>
    </row>
    <row r="132" ht="15.75" customHeight="1" s="38">
      <c r="A132" s="2" t="n"/>
      <c r="B132" s="2" t="n"/>
      <c r="C132" s="2" t="n"/>
      <c r="D132" s="2" t="n"/>
      <c r="E132" s="2" t="n"/>
      <c r="F132" s="2" t="n"/>
      <c r="I132" s="2" t="n"/>
    </row>
    <row r="133" ht="15.75" customHeight="1" s="38">
      <c r="A133" s="2" t="n"/>
      <c r="B133" s="2" t="n"/>
      <c r="C133" s="2" t="n"/>
      <c r="D133" s="2" t="n"/>
      <c r="E133" s="2" t="n"/>
      <c r="F133" s="2" t="n"/>
      <c r="I133" s="2" t="n"/>
    </row>
    <row r="134" ht="15.75" customHeight="1" s="38">
      <c r="A134" s="2" t="n"/>
      <c r="B134" s="2" t="n"/>
      <c r="C134" s="2" t="n"/>
      <c r="D134" s="2" t="n"/>
      <c r="E134" s="2" t="n"/>
      <c r="F134" s="2" t="n"/>
      <c r="I134" s="2" t="n"/>
    </row>
    <row r="135" ht="15.75" customHeight="1" s="38">
      <c r="A135" s="2" t="n"/>
      <c r="B135" s="2" t="n"/>
      <c r="C135" s="2" t="n"/>
      <c r="D135" s="2" t="n"/>
      <c r="E135" s="2" t="n"/>
      <c r="F135" s="2" t="n"/>
      <c r="I135" s="2" t="n"/>
    </row>
    <row r="136" ht="15.75" customHeight="1" s="38">
      <c r="A136" s="2" t="n"/>
      <c r="B136" s="2" t="n"/>
      <c r="C136" s="2" t="n"/>
      <c r="D136" s="2" t="n"/>
      <c r="E136" s="2" t="n"/>
      <c r="F136" s="2" t="n"/>
      <c r="I136" s="2" t="n"/>
    </row>
    <row r="137" ht="15.75" customHeight="1" s="38">
      <c r="A137" s="2" t="n"/>
      <c r="B137" s="2" t="n"/>
      <c r="C137" s="2" t="n"/>
      <c r="D137" s="2" t="n"/>
      <c r="E137" s="2" t="n"/>
      <c r="F137" s="2" t="n"/>
      <c r="I137" s="2" t="n"/>
    </row>
    <row r="138" ht="15.75" customHeight="1" s="38">
      <c r="A138" s="2" t="n"/>
      <c r="B138" s="2" t="n"/>
      <c r="C138" s="2" t="n"/>
      <c r="D138" s="2" t="n"/>
      <c r="E138" s="2" t="n"/>
      <c r="F138" s="2" t="n"/>
      <c r="I138" s="2" t="n"/>
    </row>
    <row r="139" ht="15.75" customHeight="1" s="38">
      <c r="A139" s="2" t="n"/>
      <c r="B139" s="2" t="n"/>
      <c r="C139" s="2" t="n"/>
      <c r="D139" s="2" t="n"/>
      <c r="E139" s="2" t="n"/>
      <c r="F139" s="2" t="n"/>
      <c r="I139" s="2" t="n"/>
    </row>
    <row r="140" ht="15.75" customHeight="1" s="38">
      <c r="A140" s="2" t="n"/>
      <c r="B140" s="2" t="n"/>
      <c r="C140" s="2" t="n"/>
      <c r="D140" s="2" t="n"/>
      <c r="E140" s="2" t="n"/>
      <c r="F140" s="2" t="n"/>
      <c r="I140" s="2" t="n"/>
    </row>
    <row r="141" ht="15.75" customHeight="1" s="38">
      <c r="A141" s="2" t="n"/>
      <c r="B141" s="2" t="n"/>
      <c r="C141" s="2" t="n"/>
      <c r="D141" s="2" t="n"/>
      <c r="E141" s="2" t="n"/>
      <c r="F141" s="2" t="n"/>
      <c r="I141" s="2" t="n"/>
    </row>
    <row r="142" ht="15.75" customHeight="1" s="38">
      <c r="A142" s="2" t="n"/>
      <c r="B142" s="2" t="n"/>
      <c r="C142" s="2" t="n"/>
      <c r="D142" s="2" t="n"/>
      <c r="E142" s="2" t="n"/>
      <c r="F142" s="2" t="n"/>
      <c r="I142" s="2" t="n"/>
    </row>
    <row r="143" ht="15.75" customHeight="1" s="38">
      <c r="A143" s="2" t="n"/>
      <c r="B143" s="2" t="n"/>
      <c r="C143" s="2" t="n"/>
      <c r="D143" s="2" t="n"/>
      <c r="E143" s="2" t="n"/>
      <c r="F143" s="2" t="n"/>
      <c r="I143" s="2" t="n"/>
    </row>
    <row r="144" ht="15.75" customHeight="1" s="38">
      <c r="A144" s="2" t="n"/>
      <c r="B144" s="2" t="n"/>
      <c r="C144" s="2" t="n"/>
      <c r="D144" s="2" t="n"/>
      <c r="E144" s="2" t="n"/>
      <c r="F144" s="2" t="n"/>
      <c r="I144" s="2" t="n"/>
    </row>
    <row r="145" ht="15.75" customHeight="1" s="38">
      <c r="A145" s="2" t="n"/>
      <c r="B145" s="2" t="n"/>
      <c r="C145" s="2" t="n"/>
      <c r="D145" s="2" t="n"/>
      <c r="E145" s="2" t="n"/>
      <c r="F145" s="2" t="n"/>
      <c r="I145" s="2" t="n"/>
    </row>
    <row r="146" ht="15.75" customHeight="1" s="38">
      <c r="A146" s="2" t="n"/>
      <c r="B146" s="2" t="n"/>
      <c r="C146" s="2" t="n"/>
      <c r="D146" s="2" t="n"/>
      <c r="E146" s="2" t="n"/>
      <c r="F146" s="2" t="n"/>
      <c r="I146" s="2" t="n"/>
    </row>
    <row r="147" ht="15.75" customHeight="1" s="38">
      <c r="A147" s="2" t="n"/>
      <c r="B147" s="2" t="n"/>
      <c r="C147" s="2" t="n"/>
      <c r="D147" s="2" t="n"/>
      <c r="E147" s="2" t="n"/>
      <c r="F147" s="2" t="n"/>
      <c r="I147" s="2" t="n"/>
    </row>
    <row r="148" ht="15.75" customHeight="1" s="38">
      <c r="A148" s="2" t="n"/>
      <c r="B148" s="2" t="n"/>
      <c r="C148" s="2" t="n"/>
      <c r="D148" s="2" t="n"/>
      <c r="E148" s="2" t="n"/>
      <c r="F148" s="2" t="n"/>
      <c r="I148" s="2" t="n"/>
    </row>
    <row r="149" ht="15.75" customHeight="1" s="38">
      <c r="A149" s="2" t="n"/>
      <c r="B149" s="2" t="n"/>
      <c r="C149" s="2" t="n"/>
      <c r="D149" s="2" t="n"/>
      <c r="E149" s="2" t="n"/>
      <c r="F149" s="2" t="n"/>
      <c r="I149" s="2" t="n"/>
    </row>
    <row r="150" ht="15.75" customHeight="1" s="38">
      <c r="A150" s="2" t="n"/>
      <c r="B150" s="2" t="n"/>
      <c r="C150" s="2" t="n"/>
      <c r="D150" s="2" t="n"/>
      <c r="E150" s="2" t="n"/>
      <c r="F150" s="2" t="n"/>
      <c r="I150" s="2" t="n"/>
    </row>
    <row r="151" ht="15.75" customHeight="1" s="38">
      <c r="A151" s="2" t="n"/>
      <c r="B151" s="2" t="n"/>
      <c r="C151" s="2" t="n"/>
      <c r="D151" s="2" t="n"/>
      <c r="E151" s="2" t="n"/>
      <c r="F151" s="2" t="n"/>
      <c r="I151" s="2" t="n"/>
    </row>
    <row r="152" ht="15.75" customHeight="1" s="38">
      <c r="A152" s="2" t="n"/>
      <c r="B152" s="2" t="n"/>
      <c r="C152" s="2" t="n"/>
      <c r="D152" s="2" t="n"/>
      <c r="E152" s="2" t="n"/>
      <c r="F152" s="2" t="n"/>
      <c r="I152" s="2" t="n"/>
    </row>
    <row r="153" ht="15.75" customHeight="1" s="38">
      <c r="A153" s="2" t="n"/>
      <c r="B153" s="2" t="n"/>
      <c r="C153" s="2" t="n"/>
      <c r="D153" s="2" t="n"/>
      <c r="E153" s="2" t="n"/>
      <c r="F153" s="2" t="n"/>
      <c r="I153" s="2" t="n"/>
    </row>
    <row r="154" ht="15.75" customHeight="1" s="38">
      <c r="A154" s="2" t="n"/>
      <c r="B154" s="2" t="n"/>
      <c r="C154" s="2" t="n"/>
      <c r="D154" s="2" t="n"/>
      <c r="E154" s="2" t="n"/>
      <c r="F154" s="2" t="n"/>
      <c r="I154" s="2" t="n"/>
    </row>
    <row r="155" ht="15.75" customHeight="1" s="38">
      <c r="A155" s="2" t="n"/>
      <c r="B155" s="2" t="n"/>
      <c r="C155" s="2" t="n"/>
      <c r="D155" s="2" t="n"/>
      <c r="E155" s="2" t="n"/>
      <c r="F155" s="2" t="n"/>
      <c r="I155" s="2" t="n"/>
    </row>
    <row r="156" ht="15.75" customHeight="1" s="38">
      <c r="A156" s="2" t="n"/>
      <c r="B156" s="2" t="n"/>
      <c r="C156" s="2" t="n"/>
      <c r="D156" s="2" t="n"/>
      <c r="E156" s="2" t="n"/>
      <c r="F156" s="2" t="n"/>
      <c r="I156" s="2" t="n"/>
    </row>
    <row r="157" ht="15.75" customHeight="1" s="38">
      <c r="A157" s="2" t="n"/>
      <c r="B157" s="2" t="n"/>
      <c r="C157" s="2" t="n"/>
      <c r="D157" s="2" t="n"/>
      <c r="E157" s="2" t="n"/>
      <c r="F157" s="2" t="n"/>
      <c r="I157" s="2" t="n"/>
    </row>
    <row r="158" ht="15.75" customHeight="1" s="38">
      <c r="A158" s="2" t="n"/>
      <c r="B158" s="2" t="n"/>
      <c r="C158" s="2" t="n"/>
      <c r="D158" s="2" t="n"/>
      <c r="E158" s="2" t="n"/>
      <c r="F158" s="2" t="n"/>
      <c r="I158" s="2" t="n"/>
    </row>
    <row r="159" ht="15.75" customHeight="1" s="38">
      <c r="A159" s="2" t="n"/>
      <c r="B159" s="2" t="n"/>
      <c r="C159" s="2" t="n"/>
      <c r="D159" s="2" t="n"/>
      <c r="E159" s="2" t="n"/>
      <c r="F159" s="2" t="n"/>
      <c r="I159" s="2" t="n"/>
    </row>
    <row r="160" ht="15.75" customHeight="1" s="38">
      <c r="A160" s="2" t="n"/>
      <c r="B160" s="2" t="n"/>
      <c r="C160" s="2" t="n"/>
      <c r="D160" s="2" t="n"/>
      <c r="E160" s="2" t="n"/>
      <c r="F160" s="2" t="n"/>
      <c r="I160" s="2" t="n"/>
    </row>
    <row r="161" ht="15.75" customHeight="1" s="38">
      <c r="A161" s="2" t="n"/>
      <c r="B161" s="2" t="n"/>
      <c r="C161" s="2" t="n"/>
      <c r="D161" s="2" t="n"/>
      <c r="E161" s="2" t="n"/>
      <c r="F161" s="2" t="n"/>
      <c r="I161" s="2" t="n"/>
    </row>
    <row r="162" ht="15.75" customHeight="1" s="38">
      <c r="A162" s="2" t="n"/>
      <c r="B162" s="2" t="n"/>
      <c r="C162" s="2" t="n"/>
      <c r="D162" s="2" t="n"/>
      <c r="E162" s="2" t="n"/>
      <c r="F162" s="2" t="n"/>
      <c r="I162" s="2" t="n"/>
    </row>
    <row r="163" ht="15.75" customHeight="1" s="38">
      <c r="A163" s="2" t="n"/>
      <c r="B163" s="2" t="n"/>
      <c r="C163" s="2" t="n"/>
      <c r="D163" s="2" t="n"/>
      <c r="E163" s="2" t="n"/>
      <c r="F163" s="2" t="n"/>
      <c r="I163" s="2" t="n"/>
    </row>
    <row r="164" ht="15.75" customHeight="1" s="38">
      <c r="A164" s="2" t="n"/>
      <c r="B164" s="2" t="n"/>
      <c r="C164" s="2" t="n"/>
      <c r="D164" s="2" t="n"/>
      <c r="E164" s="2" t="n"/>
      <c r="F164" s="2" t="n"/>
      <c r="I164" s="2" t="n"/>
    </row>
    <row r="165" ht="15.75" customHeight="1" s="38">
      <c r="A165" s="2" t="n"/>
      <c r="B165" s="2" t="n"/>
      <c r="C165" s="2" t="n"/>
      <c r="D165" s="2" t="n"/>
      <c r="E165" s="2" t="n"/>
      <c r="F165" s="2" t="n"/>
      <c r="I165" s="2" t="n"/>
    </row>
    <row r="166" ht="15.75" customHeight="1" s="38">
      <c r="A166" s="2" t="n"/>
      <c r="B166" s="2" t="n"/>
      <c r="C166" s="2" t="n"/>
      <c r="D166" s="2" t="n"/>
      <c r="E166" s="2" t="n"/>
      <c r="F166" s="2" t="n"/>
      <c r="I166" s="2" t="n"/>
    </row>
    <row r="167" ht="15.75" customHeight="1" s="38">
      <c r="A167" s="2" t="n"/>
      <c r="B167" s="2" t="n"/>
      <c r="C167" s="2" t="n"/>
      <c r="D167" s="2" t="n"/>
      <c r="E167" s="2" t="n"/>
      <c r="F167" s="2" t="n"/>
      <c r="I167" s="2" t="n"/>
    </row>
    <row r="168" ht="15.75" customHeight="1" s="38">
      <c r="A168" s="2" t="n"/>
      <c r="B168" s="2" t="n"/>
      <c r="C168" s="2" t="n"/>
      <c r="D168" s="2" t="n"/>
      <c r="E168" s="2" t="n"/>
      <c r="F168" s="2" t="n"/>
      <c r="I168" s="2" t="n"/>
    </row>
    <row r="169" ht="15.75" customHeight="1" s="38">
      <c r="A169" s="2" t="n"/>
      <c r="B169" s="2" t="n"/>
      <c r="C169" s="2" t="n"/>
      <c r="D169" s="2" t="n"/>
      <c r="E169" s="2" t="n"/>
      <c r="F169" s="2" t="n"/>
      <c r="I169" s="2" t="n"/>
    </row>
    <row r="170" ht="15.75" customHeight="1" s="38">
      <c r="A170" s="2" t="n"/>
      <c r="B170" s="2" t="n"/>
      <c r="C170" s="2" t="n"/>
      <c r="D170" s="2" t="n"/>
      <c r="E170" s="2" t="n"/>
      <c r="F170" s="2" t="n"/>
      <c r="I170" s="2" t="n"/>
    </row>
    <row r="171" ht="15.75" customHeight="1" s="38">
      <c r="A171" s="2" t="n"/>
      <c r="B171" s="2" t="n"/>
      <c r="C171" s="2" t="n"/>
      <c r="D171" s="2" t="n"/>
      <c r="E171" s="2" t="n"/>
      <c r="F171" s="2" t="n"/>
      <c r="I171" s="2" t="n"/>
    </row>
    <row r="172" ht="15.75" customHeight="1" s="38">
      <c r="A172" s="2" t="n"/>
      <c r="B172" s="2" t="n"/>
      <c r="C172" s="2" t="n"/>
      <c r="D172" s="2" t="n"/>
      <c r="E172" s="2" t="n"/>
      <c r="F172" s="2" t="n"/>
      <c r="I172" s="2" t="n"/>
    </row>
    <row r="173" ht="15.75" customHeight="1" s="38">
      <c r="A173" s="2" t="n"/>
      <c r="B173" s="2" t="n"/>
      <c r="C173" s="2" t="n"/>
      <c r="D173" s="2" t="n"/>
      <c r="E173" s="2" t="n"/>
      <c r="F173" s="2" t="n"/>
      <c r="I173" s="2" t="n"/>
    </row>
    <row r="174" ht="15.75" customHeight="1" s="38">
      <c r="A174" s="2" t="n"/>
      <c r="B174" s="2" t="n"/>
      <c r="C174" s="2" t="n"/>
      <c r="D174" s="2" t="n"/>
      <c r="E174" s="2" t="n"/>
      <c r="F174" s="2" t="n"/>
      <c r="I174" s="2" t="n"/>
    </row>
    <row r="175" ht="15.75" customHeight="1" s="38">
      <c r="A175" s="2" t="n"/>
      <c r="B175" s="2" t="n"/>
      <c r="C175" s="2" t="n"/>
      <c r="D175" s="2" t="n"/>
      <c r="E175" s="2" t="n"/>
      <c r="F175" s="2" t="n"/>
      <c r="I175" s="2" t="n"/>
    </row>
    <row r="176" ht="15.75" customHeight="1" s="38">
      <c r="A176" s="2" t="n"/>
      <c r="B176" s="2" t="n"/>
      <c r="C176" s="2" t="n"/>
      <c r="D176" s="2" t="n"/>
      <c r="E176" s="2" t="n"/>
      <c r="F176" s="2" t="n"/>
      <c r="I176" s="2" t="n"/>
    </row>
    <row r="177" ht="15.75" customHeight="1" s="38">
      <c r="A177" s="2" t="n"/>
      <c r="B177" s="2" t="n"/>
      <c r="C177" s="2" t="n"/>
      <c r="D177" s="2" t="n"/>
      <c r="E177" s="2" t="n"/>
      <c r="F177" s="2" t="n"/>
      <c r="I177" s="2" t="n"/>
    </row>
    <row r="178" ht="15.75" customHeight="1" s="38">
      <c r="A178" s="2" t="n"/>
      <c r="B178" s="2" t="n"/>
      <c r="C178" s="2" t="n"/>
      <c r="D178" s="2" t="n"/>
      <c r="E178" s="2" t="n"/>
      <c r="F178" s="2" t="n"/>
      <c r="I178" s="2" t="n"/>
    </row>
    <row r="179" ht="15.75" customHeight="1" s="38">
      <c r="A179" s="2" t="n"/>
      <c r="B179" s="2" t="n"/>
      <c r="C179" s="2" t="n"/>
      <c r="D179" s="2" t="n"/>
      <c r="E179" s="2" t="n"/>
      <c r="F179" s="2" t="n"/>
      <c r="I179" s="2" t="n"/>
    </row>
    <row r="180" ht="15.75" customHeight="1" s="38">
      <c r="A180" s="2" t="n"/>
      <c r="B180" s="2" t="n"/>
      <c r="C180" s="2" t="n"/>
      <c r="D180" s="2" t="n"/>
      <c r="E180" s="2" t="n"/>
      <c r="F180" s="2" t="n"/>
      <c r="I180" s="2" t="n"/>
    </row>
    <row r="181" ht="15.75" customHeight="1" s="38">
      <c r="A181" s="2" t="n"/>
      <c r="B181" s="2" t="n"/>
      <c r="C181" s="2" t="n"/>
      <c r="D181" s="2" t="n"/>
      <c r="E181" s="2" t="n"/>
      <c r="F181" s="2" t="n"/>
      <c r="I181" s="2" t="n"/>
    </row>
    <row r="182" ht="15.75" customHeight="1" s="38">
      <c r="A182" s="2" t="n"/>
      <c r="B182" s="2" t="n"/>
      <c r="C182" s="2" t="n"/>
      <c r="D182" s="2" t="n"/>
      <c r="E182" s="2" t="n"/>
      <c r="F182" s="2" t="n"/>
      <c r="I182" s="2" t="n"/>
    </row>
    <row r="183" ht="15.75" customHeight="1" s="38">
      <c r="A183" s="2" t="n"/>
      <c r="B183" s="2" t="n"/>
      <c r="C183" s="2" t="n"/>
      <c r="D183" s="2" t="n"/>
      <c r="E183" s="2" t="n"/>
      <c r="F183" s="2" t="n"/>
      <c r="I183" s="2" t="n"/>
    </row>
    <row r="184" ht="15.75" customHeight="1" s="38">
      <c r="A184" s="2" t="n"/>
      <c r="B184" s="2" t="n"/>
      <c r="C184" s="2" t="n"/>
      <c r="D184" s="2" t="n"/>
      <c r="E184" s="2" t="n"/>
      <c r="F184" s="2" t="n"/>
      <c r="I184" s="2" t="n"/>
    </row>
    <row r="185" ht="15.75" customHeight="1" s="38">
      <c r="A185" s="2" t="n"/>
      <c r="B185" s="2" t="n"/>
      <c r="C185" s="2" t="n"/>
      <c r="D185" s="2" t="n"/>
      <c r="E185" s="2" t="n"/>
      <c r="F185" s="2" t="n"/>
      <c r="I185" s="2" t="n"/>
    </row>
    <row r="186" ht="15.75" customHeight="1" s="38">
      <c r="A186" s="2" t="n"/>
      <c r="B186" s="2" t="n"/>
      <c r="C186" s="2" t="n"/>
      <c r="D186" s="2" t="n"/>
      <c r="E186" s="2" t="n"/>
      <c r="F186" s="2" t="n"/>
      <c r="I186" s="2" t="n"/>
    </row>
    <row r="187" ht="15.75" customHeight="1" s="38">
      <c r="A187" s="2" t="n"/>
      <c r="B187" s="2" t="n"/>
      <c r="C187" s="2" t="n"/>
      <c r="D187" s="2" t="n"/>
      <c r="E187" s="2" t="n"/>
      <c r="F187" s="2" t="n"/>
      <c r="I187" s="2" t="n"/>
    </row>
    <row r="188" ht="15.75" customHeight="1" s="38">
      <c r="A188" s="2" t="n"/>
      <c r="B188" s="2" t="n"/>
      <c r="C188" s="2" t="n"/>
      <c r="D188" s="2" t="n"/>
      <c r="E188" s="2" t="n"/>
      <c r="F188" s="2" t="n"/>
      <c r="I188" s="2" t="n"/>
    </row>
    <row r="189" ht="15.75" customHeight="1" s="38">
      <c r="A189" s="2" t="n"/>
      <c r="B189" s="2" t="n"/>
      <c r="C189" s="2" t="n"/>
      <c r="D189" s="2" t="n"/>
      <c r="E189" s="2" t="n"/>
      <c r="F189" s="2" t="n"/>
      <c r="I189" s="2" t="n"/>
    </row>
    <row r="190" ht="15.75" customHeight="1" s="38">
      <c r="A190" s="2" t="n"/>
      <c r="B190" s="2" t="n"/>
      <c r="C190" s="2" t="n"/>
      <c r="D190" s="2" t="n"/>
      <c r="E190" s="2" t="n"/>
      <c r="F190" s="2" t="n"/>
      <c r="I190" s="2" t="n"/>
    </row>
    <row r="191" ht="15.75" customHeight="1" s="38">
      <c r="A191" s="2" t="n"/>
      <c r="B191" s="2" t="n"/>
      <c r="C191" s="2" t="n"/>
      <c r="D191" s="2" t="n"/>
      <c r="E191" s="2" t="n"/>
      <c r="F191" s="2" t="n"/>
      <c r="I191" s="2" t="n"/>
    </row>
    <row r="192" ht="15.75" customHeight="1" s="38">
      <c r="A192" s="2" t="n"/>
      <c r="B192" s="2" t="n"/>
      <c r="C192" s="2" t="n"/>
      <c r="D192" s="2" t="n"/>
      <c r="E192" s="2" t="n"/>
      <c r="F192" s="2" t="n"/>
      <c r="I192" s="2" t="n"/>
    </row>
    <row r="193" ht="15.75" customHeight="1" s="38">
      <c r="A193" s="2" t="n"/>
      <c r="B193" s="2" t="n"/>
      <c r="C193" s="2" t="n"/>
      <c r="D193" s="2" t="n"/>
      <c r="E193" s="2" t="n"/>
      <c r="F193" s="2" t="n"/>
      <c r="I193" s="2" t="n"/>
    </row>
    <row r="194" ht="15.75" customHeight="1" s="38">
      <c r="A194" s="2" t="n"/>
      <c r="B194" s="2" t="n"/>
      <c r="C194" s="2" t="n"/>
      <c r="D194" s="2" t="n"/>
      <c r="E194" s="2" t="n"/>
      <c r="F194" s="2" t="n"/>
      <c r="I194" s="2" t="n"/>
    </row>
    <row r="195" ht="15.75" customHeight="1" s="38">
      <c r="A195" s="2" t="n"/>
      <c r="B195" s="2" t="n"/>
      <c r="C195" s="2" t="n"/>
      <c r="D195" s="2" t="n"/>
      <c r="E195" s="2" t="n"/>
      <c r="F195" s="2" t="n"/>
      <c r="I195" s="2" t="n"/>
    </row>
    <row r="196" ht="15.75" customHeight="1" s="38">
      <c r="A196" s="2" t="n"/>
      <c r="B196" s="2" t="n"/>
      <c r="C196" s="2" t="n"/>
      <c r="D196" s="2" t="n"/>
      <c r="E196" s="2" t="n"/>
      <c r="F196" s="2" t="n"/>
      <c r="I196" s="2" t="n"/>
    </row>
    <row r="197" ht="15.75" customHeight="1" s="38">
      <c r="A197" s="2" t="n"/>
      <c r="B197" s="2" t="n"/>
      <c r="C197" s="2" t="n"/>
      <c r="D197" s="2" t="n"/>
      <c r="E197" s="2" t="n"/>
      <c r="F197" s="2" t="n"/>
      <c r="I197" s="2" t="n"/>
    </row>
    <row r="198" ht="15.75" customHeight="1" s="38">
      <c r="A198" s="2" t="n"/>
      <c r="B198" s="2" t="n"/>
      <c r="C198" s="2" t="n"/>
      <c r="D198" s="2" t="n"/>
      <c r="E198" s="2" t="n"/>
      <c r="F198" s="2" t="n"/>
      <c r="I198" s="2" t="n"/>
    </row>
    <row r="199" ht="15.75" customHeight="1" s="38">
      <c r="A199" s="2" t="n"/>
      <c r="B199" s="2" t="n"/>
      <c r="C199" s="2" t="n"/>
      <c r="D199" s="2" t="n"/>
      <c r="E199" s="2" t="n"/>
      <c r="F199" s="2" t="n"/>
      <c r="I199" s="2" t="n"/>
    </row>
    <row r="200" ht="15.75" customHeight="1" s="38">
      <c r="A200" s="2" t="n"/>
      <c r="B200" s="2" t="n"/>
      <c r="C200" s="2" t="n"/>
      <c r="D200" s="2" t="n"/>
      <c r="E200" s="2" t="n"/>
      <c r="F200" s="2" t="n"/>
      <c r="I200" s="2" t="n"/>
    </row>
    <row r="201" ht="15.75" customHeight="1" s="38">
      <c r="A201" s="2" t="n"/>
      <c r="B201" s="2" t="n"/>
      <c r="C201" s="2" t="n"/>
      <c r="D201" s="2" t="n"/>
      <c r="E201" s="2" t="n"/>
      <c r="F201" s="2" t="n"/>
      <c r="I201" s="2" t="n"/>
    </row>
    <row r="202" ht="15.75" customHeight="1" s="38">
      <c r="A202" s="2" t="n"/>
      <c r="B202" s="2" t="n"/>
      <c r="C202" s="2" t="n"/>
      <c r="D202" s="2" t="n"/>
      <c r="E202" s="2" t="n"/>
      <c r="F202" s="2" t="n"/>
      <c r="I202" s="2" t="n"/>
    </row>
    <row r="203" ht="15.75" customHeight="1" s="38">
      <c r="A203" s="2" t="n"/>
      <c r="B203" s="2" t="n"/>
      <c r="C203" s="2" t="n"/>
      <c r="D203" s="2" t="n"/>
      <c r="E203" s="2" t="n"/>
      <c r="F203" s="2" t="n"/>
      <c r="I203" s="2" t="n"/>
    </row>
    <row r="204" ht="15.75" customHeight="1" s="38">
      <c r="A204" s="2" t="n"/>
      <c r="B204" s="2" t="n"/>
      <c r="C204" s="2" t="n"/>
      <c r="D204" s="2" t="n"/>
      <c r="E204" s="2" t="n"/>
      <c r="F204" s="2" t="n"/>
      <c r="I204" s="2" t="n"/>
    </row>
    <row r="205" ht="15.75" customHeight="1" s="38">
      <c r="A205" s="2" t="n"/>
      <c r="B205" s="2" t="n"/>
      <c r="C205" s="2" t="n"/>
      <c r="D205" s="2" t="n"/>
      <c r="E205" s="2" t="n"/>
      <c r="F205" s="2" t="n"/>
      <c r="I205" s="2" t="n"/>
    </row>
    <row r="206" ht="15.75" customHeight="1" s="38">
      <c r="A206" s="2" t="n"/>
      <c r="B206" s="2" t="n"/>
      <c r="C206" s="2" t="n"/>
      <c r="D206" s="2" t="n"/>
      <c r="E206" s="2" t="n"/>
      <c r="F206" s="2" t="n"/>
      <c r="I206" s="2" t="n"/>
    </row>
    <row r="207" ht="15.75" customHeight="1" s="38">
      <c r="A207" s="2" t="n"/>
      <c r="B207" s="2" t="n"/>
      <c r="C207" s="2" t="n"/>
      <c r="D207" s="2" t="n"/>
      <c r="E207" s="2" t="n"/>
      <c r="F207" s="2" t="n"/>
      <c r="I207" s="2" t="n"/>
    </row>
    <row r="208" ht="15.75" customHeight="1" s="38">
      <c r="A208" s="2" t="n"/>
      <c r="B208" s="2" t="n"/>
      <c r="C208" s="2" t="n"/>
      <c r="D208" s="2" t="n"/>
      <c r="E208" s="2" t="n"/>
      <c r="F208" s="2" t="n"/>
      <c r="I208" s="2" t="n"/>
    </row>
    <row r="209" ht="15.75" customHeight="1" s="38">
      <c r="A209" s="2" t="n"/>
      <c r="B209" s="2" t="n"/>
      <c r="C209" s="2" t="n"/>
      <c r="D209" s="2" t="n"/>
      <c r="E209" s="2" t="n"/>
      <c r="F209" s="2" t="n"/>
      <c r="I209" s="2" t="n"/>
    </row>
    <row r="210" ht="15.75" customHeight="1" s="38">
      <c r="A210" s="2" t="n"/>
      <c r="B210" s="2" t="n"/>
      <c r="C210" s="2" t="n"/>
      <c r="D210" s="2" t="n"/>
      <c r="E210" s="2" t="n"/>
      <c r="F210" s="2" t="n"/>
      <c r="I210" s="2" t="n"/>
    </row>
    <row r="211" ht="15.75" customHeight="1" s="38">
      <c r="A211" s="2" t="n"/>
      <c r="B211" s="2" t="n"/>
      <c r="C211" s="2" t="n"/>
      <c r="D211" s="2" t="n"/>
      <c r="E211" s="2" t="n"/>
      <c r="F211" s="2" t="n"/>
      <c r="I211" s="2" t="n"/>
    </row>
    <row r="212" ht="15.75" customHeight="1" s="38">
      <c r="A212" s="2" t="n"/>
      <c r="B212" s="2" t="n"/>
      <c r="C212" s="2" t="n"/>
      <c r="D212" s="2" t="n"/>
      <c r="E212" s="2" t="n"/>
      <c r="F212" s="2" t="n"/>
      <c r="I212" s="2" t="n"/>
    </row>
    <row r="213" ht="15.75" customHeight="1" s="38">
      <c r="A213" s="2" t="n"/>
      <c r="B213" s="2" t="n"/>
      <c r="C213" s="2" t="n"/>
      <c r="D213" s="2" t="n"/>
      <c r="E213" s="2" t="n"/>
      <c r="F213" s="2" t="n"/>
      <c r="I213" s="2" t="n"/>
    </row>
    <row r="214" ht="15.75" customHeight="1" s="38">
      <c r="A214" s="2" t="n"/>
      <c r="B214" s="2" t="n"/>
      <c r="C214" s="2" t="n"/>
      <c r="D214" s="2" t="n"/>
      <c r="E214" s="2" t="n"/>
      <c r="F214" s="2" t="n"/>
      <c r="I214" s="2" t="n"/>
    </row>
    <row r="215" ht="15.75" customHeight="1" s="38">
      <c r="A215" s="2" t="n"/>
      <c r="B215" s="2" t="n"/>
      <c r="C215" s="2" t="n"/>
      <c r="D215" s="2" t="n"/>
      <c r="E215" s="2" t="n"/>
      <c r="F215" s="2" t="n"/>
      <c r="I215" s="2" t="n"/>
    </row>
    <row r="216" ht="15.75" customHeight="1" s="38">
      <c r="A216" s="2" t="n"/>
      <c r="B216" s="2" t="n"/>
      <c r="C216" s="2" t="n"/>
      <c r="D216" s="2" t="n"/>
      <c r="E216" s="2" t="n"/>
      <c r="F216" s="2" t="n"/>
      <c r="I216" s="2" t="n"/>
    </row>
    <row r="217" ht="15.75" customHeight="1" s="38">
      <c r="A217" s="2" t="n"/>
      <c r="B217" s="2" t="n"/>
      <c r="C217" s="2" t="n"/>
      <c r="D217" s="2" t="n"/>
      <c r="E217" s="2" t="n"/>
      <c r="F217" s="2" t="n"/>
      <c r="I217" s="2" t="n"/>
    </row>
    <row r="218" ht="15.75" customHeight="1" s="38">
      <c r="A218" s="2" t="n"/>
      <c r="B218" s="2" t="n"/>
      <c r="C218" s="2" t="n"/>
      <c r="D218" s="2" t="n"/>
      <c r="E218" s="2" t="n"/>
      <c r="F218" s="2" t="n"/>
      <c r="I218" s="2" t="n"/>
    </row>
    <row r="219" ht="15.75" customHeight="1" s="38">
      <c r="A219" s="2" t="n"/>
      <c r="B219" s="2" t="n"/>
      <c r="C219" s="2" t="n"/>
      <c r="D219" s="2" t="n"/>
      <c r="E219" s="2" t="n"/>
      <c r="F219" s="2" t="n"/>
      <c r="I219" s="2" t="n"/>
    </row>
    <row r="220" ht="15.75" customHeight="1" s="38">
      <c r="A220" s="2" t="n"/>
      <c r="B220" s="2" t="n"/>
      <c r="C220" s="2" t="n"/>
      <c r="D220" s="2" t="n"/>
      <c r="E220" s="2" t="n"/>
      <c r="F220" s="2" t="n"/>
      <c r="I220" s="2" t="n"/>
    </row>
    <row r="221" ht="15.75" customHeight="1" s="38">
      <c r="A221" s="2" t="n"/>
      <c r="B221" s="2" t="n"/>
      <c r="C221" s="2" t="n"/>
      <c r="D221" s="2" t="n"/>
      <c r="E221" s="2" t="n"/>
      <c r="F221" s="2" t="n"/>
      <c r="I221" s="2" t="n"/>
    </row>
    <row r="222" ht="15.75" customHeight="1" s="38">
      <c r="A222" s="2" t="n"/>
      <c r="B222" s="2" t="n"/>
      <c r="C222" s="2" t="n"/>
      <c r="D222" s="2" t="n"/>
      <c r="E222" s="2" t="n"/>
      <c r="F222" s="2" t="n"/>
      <c r="I222" s="2" t="n"/>
    </row>
    <row r="223" ht="15.75" customHeight="1" s="38">
      <c r="A223" s="2" t="n"/>
      <c r="B223" s="2" t="n"/>
      <c r="C223" s="2" t="n"/>
      <c r="D223" s="2" t="n"/>
      <c r="E223" s="2" t="n"/>
      <c r="F223" s="2" t="n"/>
      <c r="I223" s="2" t="n"/>
    </row>
    <row r="224" ht="15.75" customHeight="1" s="38">
      <c r="A224" s="2" t="n"/>
      <c r="B224" s="2" t="n"/>
      <c r="C224" s="2" t="n"/>
      <c r="D224" s="2" t="n"/>
      <c r="E224" s="2" t="n"/>
      <c r="F224" s="2" t="n"/>
      <c r="I224" s="2" t="n"/>
    </row>
    <row r="225" ht="15.75" customHeight="1" s="38">
      <c r="A225" s="2" t="n"/>
      <c r="B225" s="2" t="n"/>
      <c r="C225" s="2" t="n"/>
      <c r="D225" s="2" t="n"/>
      <c r="E225" s="2" t="n"/>
      <c r="F225" s="2" t="n"/>
      <c r="I225" s="2" t="n"/>
    </row>
    <row r="226" ht="15.75" customHeight="1" s="38">
      <c r="A226" s="2" t="n"/>
      <c r="B226" s="2" t="n"/>
      <c r="C226" s="2" t="n"/>
      <c r="D226" s="2" t="n"/>
      <c r="E226" s="2" t="n"/>
      <c r="F226" s="2" t="n"/>
      <c r="I226" s="2" t="n"/>
    </row>
    <row r="227" ht="15.75" customHeight="1" s="38">
      <c r="A227" s="2" t="n"/>
      <c r="B227" s="2" t="n"/>
      <c r="C227" s="2" t="n"/>
      <c r="D227" s="2" t="n"/>
      <c r="E227" s="2" t="n"/>
      <c r="F227" s="2" t="n"/>
      <c r="I227" s="2" t="n"/>
    </row>
    <row r="228" ht="15.75" customHeight="1" s="38">
      <c r="A228" s="2" t="n"/>
      <c r="B228" s="2" t="n"/>
      <c r="C228" s="2" t="n"/>
      <c r="D228" s="2" t="n"/>
      <c r="E228" s="2" t="n"/>
      <c r="F228" s="2" t="n"/>
      <c r="I228" s="2" t="n"/>
    </row>
    <row r="229" ht="15.75" customHeight="1" s="38">
      <c r="A229" s="2" t="n"/>
      <c r="B229" s="2" t="n"/>
      <c r="C229" s="2" t="n"/>
      <c r="D229" s="2" t="n"/>
      <c r="E229" s="2" t="n"/>
      <c r="F229" s="2" t="n"/>
      <c r="I229" s="2" t="n"/>
    </row>
    <row r="230" ht="15.75" customHeight="1" s="38">
      <c r="A230" s="2" t="n"/>
      <c r="B230" s="2" t="n"/>
      <c r="C230" s="2" t="n"/>
      <c r="D230" s="2" t="n"/>
      <c r="E230" s="2" t="n"/>
      <c r="F230" s="2" t="n"/>
      <c r="I230" s="2" t="n"/>
    </row>
    <row r="231" ht="15.75" customHeight="1" s="38">
      <c r="A231" s="2" t="n"/>
      <c r="B231" s="2" t="n"/>
      <c r="C231" s="2" t="n"/>
      <c r="D231" s="2" t="n"/>
      <c r="E231" s="2" t="n"/>
      <c r="F231" s="2" t="n"/>
      <c r="I231" s="2" t="n"/>
    </row>
    <row r="232" ht="15.75" customHeight="1" s="38">
      <c r="A232" s="2" t="n"/>
      <c r="B232" s="2" t="n"/>
      <c r="C232" s="2" t="n"/>
      <c r="D232" s="2" t="n"/>
      <c r="E232" s="2" t="n"/>
      <c r="F232" s="2" t="n"/>
      <c r="I232" s="2" t="n"/>
    </row>
    <row r="233" ht="15.75" customHeight="1" s="38">
      <c r="A233" s="2" t="n"/>
      <c r="B233" s="2" t="n"/>
      <c r="C233" s="2" t="n"/>
      <c r="D233" s="2" t="n"/>
      <c r="E233" s="2" t="n"/>
      <c r="F233" s="2" t="n"/>
      <c r="I233" s="2" t="n"/>
    </row>
    <row r="234" ht="15.75" customHeight="1" s="38">
      <c r="A234" s="2" t="n"/>
      <c r="B234" s="2" t="n"/>
      <c r="C234" s="2" t="n"/>
      <c r="D234" s="2" t="n"/>
      <c r="E234" s="2" t="n"/>
      <c r="F234" s="2" t="n"/>
      <c r="I234" s="2" t="n"/>
    </row>
    <row r="235" ht="15.75" customHeight="1" s="38">
      <c r="A235" s="2" t="n"/>
      <c r="B235" s="2" t="n"/>
      <c r="C235" s="2" t="n"/>
      <c r="D235" s="2" t="n"/>
      <c r="E235" s="2" t="n"/>
      <c r="F235" s="2" t="n"/>
      <c r="I235" s="2" t="n"/>
    </row>
    <row r="236" ht="15.75" customHeight="1" s="38">
      <c r="A236" s="2" t="n"/>
      <c r="B236" s="2" t="n"/>
      <c r="C236" s="2" t="n"/>
      <c r="D236" s="2" t="n"/>
      <c r="E236" s="2" t="n"/>
      <c r="F236" s="2" t="n"/>
      <c r="I236" s="2" t="n"/>
    </row>
    <row r="237" ht="15.75" customHeight="1" s="38">
      <c r="A237" s="2" t="n"/>
      <c r="B237" s="2" t="n"/>
      <c r="C237" s="2" t="n"/>
      <c r="D237" s="2" t="n"/>
      <c r="E237" s="2" t="n"/>
      <c r="F237" s="2" t="n"/>
      <c r="I237" s="2" t="n"/>
    </row>
    <row r="238" ht="15.75" customHeight="1" s="38">
      <c r="A238" s="2" t="n"/>
      <c r="B238" s="2" t="n"/>
      <c r="C238" s="2" t="n"/>
      <c r="D238" s="2" t="n"/>
      <c r="E238" s="2" t="n"/>
      <c r="F238" s="2" t="n"/>
      <c r="I238" s="2" t="n"/>
    </row>
    <row r="239" ht="15.75" customHeight="1" s="38">
      <c r="A239" s="2" t="n"/>
      <c r="B239" s="2" t="n"/>
      <c r="C239" s="2" t="n"/>
      <c r="D239" s="2" t="n"/>
      <c r="E239" s="2" t="n"/>
      <c r="F239" s="2" t="n"/>
      <c r="I239" s="2" t="n"/>
    </row>
    <row r="240" ht="15.75" customHeight="1" s="38">
      <c r="A240" s="2" t="n"/>
      <c r="B240" s="2" t="n"/>
      <c r="C240" s="2" t="n"/>
      <c r="D240" s="2" t="n"/>
      <c r="E240" s="2" t="n"/>
      <c r="F240" s="2" t="n"/>
      <c r="I240" s="2" t="n"/>
    </row>
    <row r="241" ht="15.75" customHeight="1" s="38">
      <c r="A241" s="2" t="n"/>
      <c r="B241" s="2" t="n"/>
      <c r="C241" s="2" t="n"/>
      <c r="D241" s="2" t="n"/>
      <c r="E241" s="2" t="n"/>
      <c r="F241" s="2" t="n"/>
      <c r="I241" s="2" t="n"/>
    </row>
    <row r="242" ht="15.75" customHeight="1" s="38">
      <c r="A242" s="2" t="n"/>
      <c r="B242" s="2" t="n"/>
      <c r="C242" s="2" t="n"/>
      <c r="D242" s="2" t="n"/>
      <c r="E242" s="2" t="n"/>
      <c r="F242" s="2" t="n"/>
      <c r="I242" s="2" t="n"/>
    </row>
    <row r="243" ht="15.75" customHeight="1" s="38">
      <c r="A243" s="2" t="n"/>
      <c r="B243" s="2" t="n"/>
      <c r="C243" s="2" t="n"/>
      <c r="D243" s="2" t="n"/>
      <c r="E243" s="2" t="n"/>
      <c r="F243" s="2" t="n"/>
      <c r="I243" s="2" t="n"/>
    </row>
    <row r="244" ht="15.75" customHeight="1" s="38">
      <c r="A244" s="2" t="n"/>
      <c r="B244" s="2" t="n"/>
      <c r="C244" s="2" t="n"/>
      <c r="D244" s="2" t="n"/>
      <c r="E244" s="2" t="n"/>
      <c r="F244" s="2" t="n"/>
      <c r="I244" s="2" t="n"/>
    </row>
    <row r="245" ht="15.75" customHeight="1" s="38">
      <c r="A245" s="2" t="n"/>
      <c r="B245" s="2" t="n"/>
      <c r="C245" s="2" t="n"/>
      <c r="D245" s="2" t="n"/>
      <c r="E245" s="2" t="n"/>
      <c r="F245" s="2" t="n"/>
      <c r="I245" s="2" t="n"/>
    </row>
    <row r="246" ht="15.75" customHeight="1" s="38">
      <c r="A246" s="2" t="n"/>
      <c r="B246" s="2" t="n"/>
      <c r="C246" s="2" t="n"/>
      <c r="D246" s="2" t="n"/>
      <c r="E246" s="2" t="n"/>
      <c r="F246" s="2" t="n"/>
      <c r="I246" s="2" t="n"/>
    </row>
    <row r="247" ht="15.75" customHeight="1" s="38">
      <c r="A247" s="2" t="n"/>
      <c r="B247" s="2" t="n"/>
      <c r="C247" s="2" t="n"/>
      <c r="D247" s="2" t="n"/>
      <c r="E247" s="2" t="n"/>
      <c r="F247" s="2" t="n"/>
      <c r="I247" s="2" t="n"/>
    </row>
    <row r="248" ht="15.75" customHeight="1" s="38">
      <c r="A248" s="2" t="n"/>
      <c r="B248" s="2" t="n"/>
      <c r="C248" s="2" t="n"/>
      <c r="D248" s="2" t="n"/>
      <c r="E248" s="2" t="n"/>
      <c r="F248" s="2" t="n"/>
      <c r="I248" s="2" t="n"/>
    </row>
    <row r="249" ht="15.75" customHeight="1" s="38">
      <c r="A249" s="2" t="n"/>
      <c r="B249" s="2" t="n"/>
      <c r="C249" s="2" t="n"/>
      <c r="D249" s="2" t="n"/>
      <c r="E249" s="2" t="n"/>
      <c r="F249" s="2" t="n"/>
      <c r="I249" s="2" t="n"/>
    </row>
    <row r="250" ht="15.75" customHeight="1" s="38">
      <c r="A250" s="2" t="n"/>
      <c r="B250" s="2" t="n"/>
      <c r="C250" s="2" t="n"/>
      <c r="D250" s="2" t="n"/>
      <c r="E250" s="2" t="n"/>
      <c r="F250" s="2" t="n"/>
      <c r="I250" s="2" t="n"/>
    </row>
    <row r="251" ht="15.75" customHeight="1" s="38">
      <c r="A251" s="2" t="n"/>
      <c r="B251" s="2" t="n"/>
      <c r="C251" s="2" t="n"/>
      <c r="D251" s="2" t="n"/>
      <c r="E251" s="2" t="n"/>
      <c r="F251" s="2" t="n"/>
      <c r="I251" s="2" t="n"/>
    </row>
    <row r="252" ht="15.75" customHeight="1" s="38">
      <c r="A252" s="2" t="n"/>
      <c r="B252" s="2" t="n"/>
      <c r="C252" s="2" t="n"/>
      <c r="D252" s="2" t="n"/>
      <c r="E252" s="2" t="n"/>
      <c r="F252" s="2" t="n"/>
      <c r="I252" s="2" t="n"/>
    </row>
    <row r="253" ht="15.75" customHeight="1" s="38">
      <c r="A253" s="2" t="n"/>
      <c r="B253" s="2" t="n"/>
      <c r="C253" s="2" t="n"/>
      <c r="D253" s="2" t="n"/>
      <c r="E253" s="2" t="n"/>
      <c r="F253" s="2" t="n"/>
      <c r="I253" s="2" t="n"/>
    </row>
    <row r="254" ht="15.75" customHeight="1" s="38">
      <c r="A254" s="2" t="n"/>
      <c r="B254" s="2" t="n"/>
      <c r="C254" s="2" t="n"/>
      <c r="D254" s="2" t="n"/>
      <c r="E254" s="2" t="n"/>
      <c r="F254" s="2" t="n"/>
      <c r="I254" s="2" t="n"/>
    </row>
    <row r="255" ht="15.75" customHeight="1" s="38">
      <c r="A255" s="2" t="n"/>
      <c r="B255" s="2" t="n"/>
      <c r="C255" s="2" t="n"/>
      <c r="D255" s="2" t="n"/>
      <c r="E255" s="2" t="n"/>
      <c r="F255" s="2" t="n"/>
      <c r="I255" s="2" t="n"/>
    </row>
    <row r="256" ht="15.75" customHeight="1" s="38">
      <c r="A256" s="2" t="n"/>
      <c r="B256" s="2" t="n"/>
      <c r="C256" s="2" t="n"/>
      <c r="D256" s="2" t="n"/>
      <c r="E256" s="2" t="n"/>
      <c r="F256" s="2" t="n"/>
      <c r="I256" s="2" t="n"/>
    </row>
    <row r="257" ht="15.75" customHeight="1" s="38">
      <c r="A257" s="2" t="n"/>
      <c r="B257" s="2" t="n"/>
      <c r="C257" s="2" t="n"/>
      <c r="D257" s="2" t="n"/>
      <c r="E257" s="2" t="n"/>
      <c r="F257" s="2" t="n"/>
      <c r="I257" s="2" t="n"/>
    </row>
    <row r="258" ht="15.75" customHeight="1" s="38">
      <c r="A258" s="2" t="n"/>
      <c r="B258" s="2" t="n"/>
      <c r="C258" s="2" t="n"/>
      <c r="D258" s="2" t="n"/>
      <c r="E258" s="2" t="n"/>
      <c r="F258" s="2" t="n"/>
      <c r="I258" s="2" t="n"/>
    </row>
    <row r="259" ht="15.75" customHeight="1" s="38">
      <c r="A259" s="2" t="n"/>
      <c r="B259" s="2" t="n"/>
      <c r="C259" s="2" t="n"/>
      <c r="D259" s="2" t="n"/>
      <c r="E259" s="2" t="n"/>
      <c r="F259" s="2" t="n"/>
      <c r="I259" s="2" t="n"/>
    </row>
    <row r="260" ht="15.75" customHeight="1" s="38">
      <c r="A260" s="2" t="n"/>
      <c r="B260" s="2" t="n"/>
      <c r="C260" s="2" t="n"/>
      <c r="D260" s="2" t="n"/>
      <c r="E260" s="2" t="n"/>
      <c r="F260" s="2" t="n"/>
      <c r="I260" s="2" t="n"/>
    </row>
    <row r="261" ht="15.75" customHeight="1" s="38">
      <c r="A261" s="2" t="n"/>
      <c r="B261" s="2" t="n"/>
      <c r="C261" s="2" t="n"/>
      <c r="D261" s="2" t="n"/>
      <c r="E261" s="2" t="n"/>
      <c r="F261" s="2" t="n"/>
      <c r="I261" s="2" t="n"/>
    </row>
    <row r="262" ht="15.75" customHeight="1" s="38">
      <c r="A262" s="2" t="n"/>
      <c r="B262" s="2" t="n"/>
      <c r="C262" s="2" t="n"/>
      <c r="D262" s="2" t="n"/>
      <c r="E262" s="2" t="n"/>
      <c r="F262" s="2" t="n"/>
      <c r="I262" s="2" t="n"/>
    </row>
    <row r="263" ht="15.75" customHeight="1" s="38">
      <c r="A263" s="2" t="n"/>
      <c r="B263" s="2" t="n"/>
      <c r="C263" s="2" t="n"/>
      <c r="D263" s="2" t="n"/>
      <c r="E263" s="2" t="n"/>
      <c r="F263" s="2" t="n"/>
      <c r="I263" s="2" t="n"/>
    </row>
    <row r="264" ht="15.75" customHeight="1" s="38">
      <c r="A264" s="2" t="n"/>
      <c r="B264" s="2" t="n"/>
      <c r="C264" s="2" t="n"/>
      <c r="D264" s="2" t="n"/>
      <c r="E264" s="2" t="n"/>
      <c r="F264" s="2" t="n"/>
      <c r="I264" s="2" t="n"/>
    </row>
    <row r="265" ht="15.75" customHeight="1" s="38">
      <c r="A265" s="2" t="n"/>
      <c r="B265" s="2" t="n"/>
      <c r="C265" s="2" t="n"/>
      <c r="D265" s="2" t="n"/>
      <c r="E265" s="2" t="n"/>
      <c r="F265" s="2" t="n"/>
      <c r="I265" s="2" t="n"/>
    </row>
    <row r="266" ht="15.75" customHeight="1" s="38">
      <c r="A266" s="2" t="n"/>
      <c r="B266" s="2" t="n"/>
      <c r="C266" s="2" t="n"/>
      <c r="D266" s="2" t="n"/>
      <c r="E266" s="2" t="n"/>
      <c r="F266" s="2" t="n"/>
      <c r="I266" s="2" t="n"/>
    </row>
    <row r="267" ht="15.75" customHeight="1" s="38">
      <c r="A267" s="2" t="n"/>
      <c r="B267" s="2" t="n"/>
      <c r="C267" s="2" t="n"/>
      <c r="D267" s="2" t="n"/>
      <c r="E267" s="2" t="n"/>
      <c r="F267" s="2" t="n"/>
      <c r="I267" s="2" t="n"/>
    </row>
    <row r="268" ht="15.75" customHeight="1" s="38">
      <c r="A268" s="2" t="n"/>
      <c r="B268" s="2" t="n"/>
      <c r="C268" s="2" t="n"/>
      <c r="D268" s="2" t="n"/>
      <c r="E268" s="2" t="n"/>
      <c r="F268" s="2" t="n"/>
      <c r="I268" s="2" t="n"/>
    </row>
    <row r="269" ht="15.75" customHeight="1" s="38">
      <c r="A269" s="2" t="n"/>
      <c r="B269" s="2" t="n"/>
      <c r="C269" s="2" t="n"/>
      <c r="D269" s="2" t="n"/>
      <c r="E269" s="2" t="n"/>
      <c r="F269" s="2" t="n"/>
      <c r="I269" s="2" t="n"/>
    </row>
    <row r="270" ht="15.75" customHeight="1" s="38">
      <c r="A270" s="2" t="n"/>
      <c r="B270" s="2" t="n"/>
      <c r="C270" s="2" t="n"/>
      <c r="D270" s="2" t="n"/>
      <c r="E270" s="2" t="n"/>
      <c r="F270" s="2" t="n"/>
      <c r="I270" s="2" t="n"/>
    </row>
    <row r="271" ht="15.75" customHeight="1" s="38">
      <c r="A271" s="2" t="n"/>
      <c r="B271" s="2" t="n"/>
      <c r="C271" s="2" t="n"/>
      <c r="D271" s="2" t="n"/>
      <c r="E271" s="2" t="n"/>
      <c r="F271" s="2" t="n"/>
      <c r="I271" s="2" t="n"/>
    </row>
    <row r="272" ht="15.75" customHeight="1" s="38">
      <c r="A272" s="2" t="n"/>
      <c r="B272" s="2" t="n"/>
      <c r="C272" s="2" t="n"/>
      <c r="D272" s="2" t="n"/>
      <c r="E272" s="2" t="n"/>
      <c r="F272" s="2" t="n"/>
      <c r="I272" s="2" t="n"/>
    </row>
    <row r="273" ht="15.75" customHeight="1" s="38">
      <c r="A273" s="2" t="n"/>
      <c r="B273" s="2" t="n"/>
      <c r="C273" s="2" t="n"/>
      <c r="D273" s="2" t="n"/>
      <c r="E273" s="2" t="n"/>
      <c r="F273" s="2" t="n"/>
      <c r="I273" s="2" t="n"/>
    </row>
    <row r="274" ht="15.75" customHeight="1" s="38">
      <c r="A274" s="2" t="n"/>
      <c r="B274" s="2" t="n"/>
      <c r="C274" s="2" t="n"/>
      <c r="D274" s="2" t="n"/>
      <c r="E274" s="2" t="n"/>
      <c r="F274" s="2" t="n"/>
      <c r="I274" s="2" t="n"/>
    </row>
    <row r="275" ht="15.75" customHeight="1" s="38">
      <c r="A275" s="2" t="n"/>
      <c r="B275" s="2" t="n"/>
      <c r="C275" s="2" t="n"/>
      <c r="D275" s="2" t="n"/>
      <c r="E275" s="2" t="n"/>
      <c r="F275" s="2" t="n"/>
      <c r="I275" s="2" t="n"/>
    </row>
    <row r="276" ht="15.75" customHeight="1" s="38">
      <c r="A276" s="2" t="n"/>
      <c r="B276" s="2" t="n"/>
      <c r="C276" s="2" t="n"/>
      <c r="D276" s="2" t="n"/>
      <c r="E276" s="2" t="n"/>
      <c r="F276" s="2" t="n"/>
      <c r="I276" s="2" t="n"/>
    </row>
    <row r="277" ht="15.75" customHeight="1" s="38">
      <c r="A277" s="2" t="n"/>
      <c r="B277" s="2" t="n"/>
      <c r="C277" s="2" t="n"/>
      <c r="D277" s="2" t="n"/>
      <c r="E277" s="2" t="n"/>
      <c r="F277" s="2" t="n"/>
      <c r="I277" s="2" t="n"/>
    </row>
    <row r="278" ht="15.75" customHeight="1" s="38">
      <c r="A278" s="2" t="n"/>
      <c r="B278" s="2" t="n"/>
      <c r="C278" s="2" t="n"/>
      <c r="D278" s="2" t="n"/>
      <c r="E278" s="2" t="n"/>
      <c r="F278" s="2" t="n"/>
      <c r="I278" s="2" t="n"/>
    </row>
    <row r="279" ht="15.75" customHeight="1" s="38">
      <c r="A279" s="2" t="n"/>
      <c r="B279" s="2" t="n"/>
      <c r="C279" s="2" t="n"/>
      <c r="D279" s="2" t="n"/>
      <c r="E279" s="2" t="n"/>
      <c r="F279" s="2" t="n"/>
      <c r="I279" s="2" t="n"/>
    </row>
    <row r="280" ht="15.75" customHeight="1" s="38">
      <c r="A280" s="2" t="n"/>
      <c r="B280" s="2" t="n"/>
      <c r="C280" s="2" t="n"/>
      <c r="D280" s="2" t="n"/>
      <c r="E280" s="2" t="n"/>
      <c r="F280" s="2" t="n"/>
      <c r="I280" s="2" t="n"/>
    </row>
    <row r="281" ht="15.75" customHeight="1" s="38">
      <c r="A281" s="2" t="n"/>
      <c r="B281" s="2" t="n"/>
      <c r="C281" s="2" t="n"/>
      <c r="D281" s="2" t="n"/>
      <c r="E281" s="2" t="n"/>
      <c r="F281" s="2" t="n"/>
      <c r="I281" s="2" t="n"/>
    </row>
    <row r="282" ht="15.75" customHeight="1" s="38">
      <c r="A282" s="2" t="n"/>
      <c r="B282" s="2" t="n"/>
      <c r="C282" s="2" t="n"/>
      <c r="D282" s="2" t="n"/>
      <c r="E282" s="2" t="n"/>
      <c r="F282" s="2" t="n"/>
      <c r="I282" s="2" t="n"/>
    </row>
    <row r="283" ht="15.75" customHeight="1" s="38">
      <c r="A283" s="2" t="n"/>
      <c r="B283" s="2" t="n"/>
      <c r="C283" s="2" t="n"/>
      <c r="D283" s="2" t="n"/>
      <c r="E283" s="2" t="n"/>
      <c r="F283" s="2" t="n"/>
      <c r="I283" s="2" t="n"/>
    </row>
    <row r="284" ht="15.75" customHeight="1" s="38">
      <c r="A284" s="2" t="n"/>
      <c r="B284" s="2" t="n"/>
      <c r="C284" s="2" t="n"/>
      <c r="D284" s="2" t="n"/>
      <c r="E284" s="2" t="n"/>
      <c r="F284" s="2" t="n"/>
      <c r="I284" s="2" t="n"/>
    </row>
    <row r="285" ht="15.75" customHeight="1" s="38">
      <c r="A285" s="2" t="n"/>
      <c r="B285" s="2" t="n"/>
      <c r="C285" s="2" t="n"/>
      <c r="D285" s="2" t="n"/>
      <c r="E285" s="2" t="n"/>
      <c r="F285" s="2" t="n"/>
      <c r="I285" s="2" t="n"/>
    </row>
    <row r="286" ht="15.75" customHeight="1" s="38">
      <c r="A286" s="2" t="n"/>
      <c r="B286" s="2" t="n"/>
      <c r="C286" s="2" t="n"/>
      <c r="D286" s="2" t="n"/>
      <c r="E286" s="2" t="n"/>
      <c r="F286" s="2" t="n"/>
      <c r="I286" s="2" t="n"/>
    </row>
    <row r="287" ht="15.75" customHeight="1" s="38">
      <c r="A287" s="2" t="n"/>
      <c r="B287" s="2" t="n"/>
      <c r="C287" s="2" t="n"/>
      <c r="D287" s="2" t="n"/>
      <c r="E287" s="2" t="n"/>
      <c r="F287" s="2" t="n"/>
      <c r="I287" s="2" t="n"/>
    </row>
    <row r="288" ht="15.75" customHeight="1" s="38">
      <c r="A288" s="2" t="n"/>
      <c r="B288" s="2" t="n"/>
      <c r="C288" s="2" t="n"/>
      <c r="D288" s="2" t="n"/>
      <c r="E288" s="2" t="n"/>
      <c r="F288" s="2" t="n"/>
      <c r="I288" s="2" t="n"/>
    </row>
    <row r="289" ht="15.75" customHeight="1" s="38">
      <c r="A289" s="2" t="n"/>
      <c r="B289" s="2" t="n"/>
      <c r="C289" s="2" t="n"/>
      <c r="D289" s="2" t="n"/>
      <c r="E289" s="2" t="n"/>
      <c r="F289" s="2" t="n"/>
      <c r="I289" s="2" t="n"/>
    </row>
    <row r="290" ht="15.75" customHeight="1" s="38">
      <c r="A290" s="2" t="n"/>
      <c r="B290" s="2" t="n"/>
      <c r="C290" s="2" t="n"/>
      <c r="D290" s="2" t="n"/>
      <c r="E290" s="2" t="n"/>
      <c r="F290" s="2" t="n"/>
      <c r="I290" s="2" t="n"/>
    </row>
    <row r="291" ht="15.75" customHeight="1" s="38">
      <c r="A291" s="2" t="n"/>
      <c r="B291" s="2" t="n"/>
      <c r="C291" s="2" t="n"/>
      <c r="D291" s="2" t="n"/>
      <c r="E291" s="2" t="n"/>
      <c r="F291" s="2" t="n"/>
      <c r="I291" s="2" t="n"/>
    </row>
    <row r="292" ht="15.75" customHeight="1" s="38">
      <c r="A292" s="2" t="n"/>
      <c r="B292" s="2" t="n"/>
      <c r="C292" s="2" t="n"/>
      <c r="D292" s="2" t="n"/>
      <c r="E292" s="2" t="n"/>
      <c r="F292" s="2" t="n"/>
      <c r="I292" s="2" t="n"/>
    </row>
    <row r="293" ht="15.75" customHeight="1" s="38">
      <c r="A293" s="2" t="n"/>
      <c r="B293" s="2" t="n"/>
      <c r="C293" s="2" t="n"/>
      <c r="D293" s="2" t="n"/>
      <c r="E293" s="2" t="n"/>
      <c r="F293" s="2" t="n"/>
      <c r="I293" s="2" t="n"/>
    </row>
    <row r="294" ht="15.75" customHeight="1" s="38">
      <c r="A294" s="2" t="n"/>
      <c r="B294" s="2" t="n"/>
      <c r="C294" s="2" t="n"/>
      <c r="D294" s="2" t="n"/>
      <c r="E294" s="2" t="n"/>
      <c r="F294" s="2" t="n"/>
      <c r="I294" s="2" t="n"/>
    </row>
    <row r="295" ht="15.75" customHeight="1" s="38">
      <c r="A295" s="2" t="n"/>
      <c r="B295" s="2" t="n"/>
      <c r="C295" s="2" t="n"/>
      <c r="D295" s="2" t="n"/>
      <c r="E295" s="2" t="n"/>
      <c r="F295" s="2" t="n"/>
      <c r="I295" s="2" t="n"/>
    </row>
    <row r="296" ht="15.75" customHeight="1" s="38">
      <c r="A296" s="2" t="n"/>
      <c r="B296" s="2" t="n"/>
      <c r="C296" s="2" t="n"/>
      <c r="D296" s="2" t="n"/>
      <c r="E296" s="2" t="n"/>
      <c r="F296" s="2" t="n"/>
      <c r="I296" s="2" t="n"/>
    </row>
    <row r="297" ht="15.75" customHeight="1" s="38">
      <c r="A297" s="2" t="n"/>
      <c r="B297" s="2" t="n"/>
      <c r="C297" s="2" t="n"/>
      <c r="D297" s="2" t="n"/>
      <c r="E297" s="2" t="n"/>
      <c r="F297" s="2" t="n"/>
      <c r="I297" s="2" t="n"/>
    </row>
    <row r="298" ht="15.75" customHeight="1" s="38">
      <c r="A298" s="2" t="n"/>
      <c r="B298" s="2" t="n"/>
      <c r="C298" s="2" t="n"/>
      <c r="D298" s="2" t="n"/>
      <c r="E298" s="2" t="n"/>
      <c r="F298" s="2" t="n"/>
      <c r="I298" s="2" t="n"/>
    </row>
    <row r="299" ht="15.75" customHeight="1" s="38">
      <c r="A299" s="2" t="n"/>
      <c r="B299" s="2" t="n"/>
      <c r="C299" s="2" t="n"/>
      <c r="D299" s="2" t="n"/>
      <c r="E299" s="2" t="n"/>
      <c r="F299" s="2" t="n"/>
      <c r="I299" s="2" t="n"/>
    </row>
    <row r="300" ht="15.75" customHeight="1" s="38">
      <c r="A300" s="2" t="n"/>
      <c r="B300" s="2" t="n"/>
      <c r="C300" s="2" t="n"/>
      <c r="D300" s="2" t="n"/>
      <c r="E300" s="2" t="n"/>
      <c r="F300" s="2" t="n"/>
      <c r="I300" s="2" t="n"/>
    </row>
    <row r="301" ht="15.75" customHeight="1" s="38">
      <c r="A301" s="2" t="n"/>
      <c r="B301" s="2" t="n"/>
      <c r="C301" s="2" t="n"/>
      <c r="D301" s="2" t="n"/>
      <c r="E301" s="2" t="n"/>
      <c r="F301" s="2" t="n"/>
      <c r="I301" s="2" t="n"/>
    </row>
    <row r="302" ht="15.75" customHeight="1" s="38">
      <c r="A302" s="2" t="n"/>
      <c r="B302" s="2" t="n"/>
      <c r="C302" s="2" t="n"/>
      <c r="D302" s="2" t="n"/>
      <c r="E302" s="2" t="n"/>
      <c r="F302" s="2" t="n"/>
      <c r="I302" s="2" t="n"/>
    </row>
    <row r="303" ht="15.75" customHeight="1" s="38">
      <c r="A303" s="2" t="n"/>
      <c r="B303" s="2" t="n"/>
      <c r="C303" s="2" t="n"/>
      <c r="D303" s="2" t="n"/>
      <c r="E303" s="2" t="n"/>
      <c r="F303" s="2" t="n"/>
      <c r="I303" s="2" t="n"/>
    </row>
    <row r="304" ht="15.75" customHeight="1" s="38">
      <c r="A304" s="2" t="n"/>
      <c r="B304" s="2" t="n"/>
      <c r="C304" s="2" t="n"/>
      <c r="D304" s="2" t="n"/>
      <c r="E304" s="2" t="n"/>
      <c r="F304" s="2" t="n"/>
      <c r="I304" s="2" t="n"/>
    </row>
    <row r="305" ht="15.75" customHeight="1" s="38">
      <c r="A305" s="2" t="n"/>
      <c r="B305" s="2" t="n"/>
      <c r="C305" s="2" t="n"/>
      <c r="D305" s="2" t="n"/>
      <c r="E305" s="2" t="n"/>
      <c r="F305" s="2" t="n"/>
      <c r="I305" s="2" t="n"/>
    </row>
    <row r="306" ht="15.75" customHeight="1" s="38">
      <c r="A306" s="2" t="n"/>
      <c r="B306" s="2" t="n"/>
      <c r="C306" s="2" t="n"/>
      <c r="D306" s="2" t="n"/>
      <c r="E306" s="2" t="n"/>
      <c r="F306" s="2" t="n"/>
      <c r="I306" s="2" t="n"/>
    </row>
    <row r="307" ht="15.75" customHeight="1" s="38">
      <c r="A307" s="2" t="n"/>
      <c r="B307" s="2" t="n"/>
      <c r="C307" s="2" t="n"/>
      <c r="D307" s="2" t="n"/>
      <c r="E307" s="2" t="n"/>
      <c r="F307" s="2" t="n"/>
      <c r="I307" s="2" t="n"/>
    </row>
    <row r="308" ht="15.75" customHeight="1" s="38">
      <c r="A308" s="2" t="n"/>
      <c r="B308" s="2" t="n"/>
      <c r="C308" s="2" t="n"/>
      <c r="D308" s="2" t="n"/>
      <c r="E308" s="2" t="n"/>
      <c r="F308" s="2" t="n"/>
      <c r="I308" s="2" t="n"/>
    </row>
    <row r="309" ht="15.75" customHeight="1" s="38">
      <c r="A309" s="2" t="n"/>
      <c r="B309" s="2" t="n"/>
      <c r="C309" s="2" t="n"/>
      <c r="D309" s="2" t="n"/>
      <c r="E309" s="2" t="n"/>
      <c r="F309" s="2" t="n"/>
      <c r="I309" s="2" t="n"/>
    </row>
    <row r="310" ht="15.75" customHeight="1" s="38">
      <c r="A310" s="2" t="n"/>
      <c r="B310" s="2" t="n"/>
      <c r="C310" s="2" t="n"/>
      <c r="D310" s="2" t="n"/>
      <c r="E310" s="2" t="n"/>
      <c r="F310" s="2" t="n"/>
      <c r="I310" s="2" t="n"/>
    </row>
    <row r="311" ht="15.75" customHeight="1" s="38">
      <c r="A311" s="2" t="n"/>
      <c r="B311" s="2" t="n"/>
      <c r="C311" s="2" t="n"/>
      <c r="D311" s="2" t="n"/>
      <c r="E311" s="2" t="n"/>
      <c r="F311" s="2" t="n"/>
      <c r="I311" s="2" t="n"/>
    </row>
    <row r="312" ht="15.75" customHeight="1" s="38">
      <c r="A312" s="2" t="n"/>
      <c r="B312" s="2" t="n"/>
      <c r="C312" s="2" t="n"/>
      <c r="D312" s="2" t="n"/>
      <c r="E312" s="2" t="n"/>
      <c r="F312" s="2" t="n"/>
      <c r="I312" s="2" t="n"/>
    </row>
    <row r="313" ht="15.75" customHeight="1" s="38">
      <c r="A313" s="2" t="n"/>
      <c r="B313" s="2" t="n"/>
      <c r="C313" s="2" t="n"/>
      <c r="D313" s="2" t="n"/>
      <c r="E313" s="2" t="n"/>
      <c r="F313" s="2" t="n"/>
      <c r="I313" s="2" t="n"/>
    </row>
    <row r="314" ht="15.75" customHeight="1" s="38">
      <c r="A314" s="2" t="n"/>
      <c r="B314" s="2" t="n"/>
      <c r="C314" s="2" t="n"/>
      <c r="D314" s="2" t="n"/>
      <c r="E314" s="2" t="n"/>
      <c r="F314" s="2" t="n"/>
      <c r="I314" s="2" t="n"/>
    </row>
    <row r="315" ht="15.75" customHeight="1" s="38">
      <c r="A315" s="2" t="n"/>
      <c r="B315" s="2" t="n"/>
      <c r="C315" s="2" t="n"/>
      <c r="D315" s="2" t="n"/>
      <c r="E315" s="2" t="n"/>
      <c r="F315" s="2" t="n"/>
      <c r="I315" s="2" t="n"/>
    </row>
    <row r="316" ht="15.75" customHeight="1" s="38">
      <c r="A316" s="2" t="n"/>
      <c r="B316" s="2" t="n"/>
      <c r="C316" s="2" t="n"/>
      <c r="D316" s="2" t="n"/>
      <c r="E316" s="2" t="n"/>
      <c r="F316" s="2" t="n"/>
      <c r="I316" s="2" t="n"/>
    </row>
    <row r="317" ht="15.75" customHeight="1" s="38">
      <c r="A317" s="2" t="n"/>
      <c r="B317" s="2" t="n"/>
      <c r="C317" s="2" t="n"/>
      <c r="D317" s="2" t="n"/>
      <c r="E317" s="2" t="n"/>
      <c r="F317" s="2" t="n"/>
      <c r="I317" s="2" t="n"/>
    </row>
    <row r="318" ht="15.75" customHeight="1" s="38">
      <c r="A318" s="2" t="n"/>
      <c r="B318" s="2" t="n"/>
      <c r="C318" s="2" t="n"/>
      <c r="D318" s="2" t="n"/>
      <c r="E318" s="2" t="n"/>
      <c r="F318" s="2" t="n"/>
      <c r="I318" s="2" t="n"/>
    </row>
    <row r="319" ht="15.75" customHeight="1" s="38">
      <c r="A319" s="2" t="n"/>
      <c r="B319" s="2" t="n"/>
      <c r="C319" s="2" t="n"/>
      <c r="D319" s="2" t="n"/>
      <c r="E319" s="2" t="n"/>
      <c r="F319" s="2" t="n"/>
      <c r="I319" s="2" t="n"/>
    </row>
    <row r="320" ht="15.75" customHeight="1" s="38">
      <c r="A320" s="2" t="n"/>
      <c r="B320" s="2" t="n"/>
      <c r="C320" s="2" t="n"/>
      <c r="D320" s="2" t="n"/>
      <c r="E320" s="2" t="n"/>
      <c r="F320" s="2" t="n"/>
      <c r="I320" s="2" t="n"/>
    </row>
    <row r="321" ht="15.75" customHeight="1" s="38">
      <c r="A321" s="2" t="n"/>
      <c r="B321" s="2" t="n"/>
      <c r="C321" s="2" t="n"/>
      <c r="D321" s="2" t="n"/>
      <c r="E321" s="2" t="n"/>
      <c r="F321" s="2" t="n"/>
      <c r="I321" s="2" t="n"/>
    </row>
    <row r="322" ht="15.75" customHeight="1" s="38">
      <c r="A322" s="2" t="n"/>
      <c r="B322" s="2" t="n"/>
      <c r="C322" s="2" t="n"/>
      <c r="D322" s="2" t="n"/>
      <c r="E322" s="2" t="n"/>
      <c r="F322" s="2" t="n"/>
      <c r="I322" s="2" t="n"/>
    </row>
    <row r="323" ht="15.75" customHeight="1" s="38">
      <c r="A323" s="2" t="n"/>
      <c r="B323" s="2" t="n"/>
      <c r="C323" s="2" t="n"/>
      <c r="D323" s="2" t="n"/>
      <c r="E323" s="2" t="n"/>
      <c r="F323" s="2" t="n"/>
      <c r="I323" s="2" t="n"/>
    </row>
    <row r="324" ht="15.75" customHeight="1" s="38">
      <c r="A324" s="2" t="n"/>
      <c r="B324" s="2" t="n"/>
      <c r="C324" s="2" t="n"/>
      <c r="D324" s="2" t="n"/>
      <c r="E324" s="2" t="n"/>
      <c r="F324" s="2" t="n"/>
      <c r="I324" s="2" t="n"/>
    </row>
    <row r="325" ht="15.75" customHeight="1" s="38">
      <c r="A325" s="2" t="n"/>
      <c r="B325" s="2" t="n"/>
      <c r="C325" s="2" t="n"/>
      <c r="D325" s="2" t="n"/>
      <c r="E325" s="2" t="n"/>
      <c r="F325" s="2" t="n"/>
      <c r="I325" s="2" t="n"/>
    </row>
    <row r="326" ht="15.75" customHeight="1" s="38">
      <c r="A326" s="2" t="n"/>
      <c r="B326" s="2" t="n"/>
      <c r="C326" s="2" t="n"/>
      <c r="D326" s="2" t="n"/>
      <c r="E326" s="2" t="n"/>
      <c r="F326" s="2" t="n"/>
      <c r="I326" s="2" t="n"/>
    </row>
    <row r="327" ht="15.75" customHeight="1" s="38">
      <c r="A327" s="2" t="n"/>
      <c r="B327" s="2" t="n"/>
      <c r="C327" s="2" t="n"/>
      <c r="D327" s="2" t="n"/>
      <c r="E327" s="2" t="n"/>
      <c r="F327" s="2" t="n"/>
      <c r="I327" s="2" t="n"/>
    </row>
    <row r="328" ht="15.75" customHeight="1" s="38">
      <c r="A328" s="2" t="n"/>
      <c r="B328" s="2" t="n"/>
      <c r="C328" s="2" t="n"/>
      <c r="D328" s="2" t="n"/>
      <c r="E328" s="2" t="n"/>
      <c r="F328" s="2" t="n"/>
      <c r="I328" s="2" t="n"/>
    </row>
    <row r="329" ht="15.75" customHeight="1" s="38">
      <c r="A329" s="2" t="n"/>
      <c r="B329" s="2" t="n"/>
      <c r="C329" s="2" t="n"/>
      <c r="D329" s="2" t="n"/>
      <c r="E329" s="2" t="n"/>
      <c r="F329" s="2" t="n"/>
      <c r="I329" s="2" t="n"/>
    </row>
    <row r="330" ht="15.75" customHeight="1" s="38">
      <c r="A330" s="2" t="n"/>
      <c r="B330" s="2" t="n"/>
      <c r="C330" s="2" t="n"/>
      <c r="D330" s="2" t="n"/>
      <c r="E330" s="2" t="n"/>
      <c r="F330" s="2" t="n"/>
      <c r="I330" s="2" t="n"/>
    </row>
    <row r="331" ht="15.75" customHeight="1" s="38">
      <c r="A331" s="2" t="n"/>
      <c r="B331" s="2" t="n"/>
      <c r="C331" s="2" t="n"/>
      <c r="D331" s="2" t="n"/>
      <c r="E331" s="2" t="n"/>
      <c r="F331" s="2" t="n"/>
      <c r="I331" s="2" t="n"/>
    </row>
    <row r="332" ht="15.75" customHeight="1" s="38">
      <c r="A332" s="2" t="n"/>
      <c r="B332" s="2" t="n"/>
      <c r="C332" s="2" t="n"/>
      <c r="D332" s="2" t="n"/>
      <c r="E332" s="2" t="n"/>
      <c r="F332" s="2" t="n"/>
      <c r="I332" s="2" t="n"/>
    </row>
    <row r="333" ht="15.75" customHeight="1" s="38">
      <c r="A333" s="2" t="n"/>
      <c r="B333" s="2" t="n"/>
      <c r="C333" s="2" t="n"/>
      <c r="D333" s="2" t="n"/>
      <c r="E333" s="2" t="n"/>
      <c r="F333" s="2" t="n"/>
      <c r="I333" s="2" t="n"/>
    </row>
    <row r="334" ht="15.75" customHeight="1" s="38">
      <c r="A334" s="2" t="n"/>
      <c r="B334" s="2" t="n"/>
      <c r="C334" s="2" t="n"/>
      <c r="D334" s="2" t="n"/>
      <c r="E334" s="2" t="n"/>
      <c r="F334" s="2" t="n"/>
      <c r="I334" s="2" t="n"/>
    </row>
    <row r="335" ht="15.75" customHeight="1" s="38">
      <c r="A335" s="2" t="n"/>
      <c r="B335" s="2" t="n"/>
      <c r="C335" s="2" t="n"/>
      <c r="D335" s="2" t="n"/>
      <c r="E335" s="2" t="n"/>
      <c r="F335" s="2" t="n"/>
      <c r="I335" s="2" t="n"/>
    </row>
    <row r="336" ht="15.75" customHeight="1" s="38">
      <c r="A336" s="2" t="n"/>
      <c r="B336" s="2" t="n"/>
      <c r="C336" s="2" t="n"/>
      <c r="D336" s="2" t="n"/>
      <c r="E336" s="2" t="n"/>
      <c r="F336" s="2" t="n"/>
      <c r="I336" s="2" t="n"/>
    </row>
    <row r="337" ht="15.75" customHeight="1" s="38">
      <c r="A337" s="2" t="n"/>
      <c r="B337" s="2" t="n"/>
      <c r="C337" s="2" t="n"/>
      <c r="D337" s="2" t="n"/>
      <c r="E337" s="2" t="n"/>
      <c r="F337" s="2" t="n"/>
      <c r="I337" s="2" t="n"/>
    </row>
    <row r="338" ht="15.75" customHeight="1" s="38">
      <c r="A338" s="2" t="n"/>
      <c r="B338" s="2" t="n"/>
      <c r="C338" s="2" t="n"/>
      <c r="D338" s="2" t="n"/>
      <c r="E338" s="2" t="n"/>
      <c r="F338" s="2" t="n"/>
      <c r="I338" s="2" t="n"/>
    </row>
    <row r="339" ht="15.75" customHeight="1" s="38">
      <c r="A339" s="2" t="n"/>
      <c r="B339" s="2" t="n"/>
      <c r="C339" s="2" t="n"/>
      <c r="D339" s="2" t="n"/>
      <c r="E339" s="2" t="n"/>
      <c r="F339" s="2" t="n"/>
      <c r="I339" s="2" t="n"/>
    </row>
    <row r="340" ht="15.75" customHeight="1" s="38">
      <c r="A340" s="2" t="n"/>
      <c r="B340" s="2" t="n"/>
      <c r="C340" s="2" t="n"/>
      <c r="D340" s="2" t="n"/>
      <c r="E340" s="2" t="n"/>
      <c r="F340" s="2" t="n"/>
      <c r="I340" s="2" t="n"/>
    </row>
    <row r="341" ht="15.75" customHeight="1" s="38">
      <c r="A341" s="2" t="n"/>
      <c r="B341" s="2" t="n"/>
      <c r="C341" s="2" t="n"/>
      <c r="D341" s="2" t="n"/>
      <c r="E341" s="2" t="n"/>
      <c r="F341" s="2" t="n"/>
      <c r="I341" s="2" t="n"/>
    </row>
    <row r="342" ht="15.75" customHeight="1" s="38">
      <c r="A342" s="2" t="n"/>
      <c r="B342" s="2" t="n"/>
      <c r="C342" s="2" t="n"/>
      <c r="D342" s="2" t="n"/>
      <c r="E342" s="2" t="n"/>
      <c r="F342" s="2" t="n"/>
      <c r="I342" s="2" t="n"/>
    </row>
    <row r="343" ht="15.75" customHeight="1" s="38">
      <c r="A343" s="2" t="n"/>
      <c r="B343" s="2" t="n"/>
      <c r="C343" s="2" t="n"/>
      <c r="D343" s="2" t="n"/>
      <c r="E343" s="2" t="n"/>
      <c r="F343" s="2" t="n"/>
      <c r="I343" s="2" t="n"/>
    </row>
    <row r="344" ht="15.75" customHeight="1" s="38">
      <c r="A344" s="2" t="n"/>
      <c r="B344" s="2" t="n"/>
      <c r="C344" s="2" t="n"/>
      <c r="D344" s="2" t="n"/>
      <c r="E344" s="2" t="n"/>
      <c r="F344" s="2" t="n"/>
      <c r="I344" s="2" t="n"/>
    </row>
    <row r="345" ht="15.75" customHeight="1" s="38">
      <c r="A345" s="2" t="n"/>
      <c r="B345" s="2" t="n"/>
      <c r="C345" s="2" t="n"/>
      <c r="D345" s="2" t="n"/>
      <c r="E345" s="2" t="n"/>
      <c r="F345" s="2" t="n"/>
      <c r="I345" s="2" t="n"/>
    </row>
    <row r="346" ht="15.75" customHeight="1" s="38">
      <c r="A346" s="2" t="n"/>
      <c r="B346" s="2" t="n"/>
      <c r="C346" s="2" t="n"/>
      <c r="D346" s="2" t="n"/>
      <c r="E346" s="2" t="n"/>
      <c r="F346" s="2" t="n"/>
      <c r="I346" s="2" t="n"/>
    </row>
    <row r="347" ht="15.75" customHeight="1" s="38">
      <c r="A347" s="2" t="n"/>
      <c r="B347" s="2" t="n"/>
      <c r="C347" s="2" t="n"/>
      <c r="D347" s="2" t="n"/>
      <c r="E347" s="2" t="n"/>
      <c r="F347" s="2" t="n"/>
      <c r="I347" s="2" t="n"/>
    </row>
    <row r="348" ht="15.75" customHeight="1" s="38">
      <c r="A348" s="2" t="n"/>
      <c r="B348" s="2" t="n"/>
      <c r="C348" s="2" t="n"/>
      <c r="D348" s="2" t="n"/>
      <c r="E348" s="2" t="n"/>
      <c r="F348" s="2" t="n"/>
      <c r="I348" s="2" t="n"/>
    </row>
    <row r="349" ht="15.75" customHeight="1" s="38">
      <c r="A349" s="2" t="n"/>
      <c r="B349" s="2" t="n"/>
      <c r="C349" s="2" t="n"/>
      <c r="D349" s="2" t="n"/>
      <c r="E349" s="2" t="n"/>
      <c r="F349" s="2" t="n"/>
      <c r="I349" s="2" t="n"/>
    </row>
    <row r="350" ht="15.75" customHeight="1" s="38">
      <c r="A350" s="2" t="n"/>
      <c r="B350" s="2" t="n"/>
      <c r="C350" s="2" t="n"/>
      <c r="D350" s="2" t="n"/>
      <c r="E350" s="2" t="n"/>
      <c r="F350" s="2" t="n"/>
      <c r="I350" s="2" t="n"/>
    </row>
    <row r="351" ht="15.75" customHeight="1" s="38">
      <c r="A351" s="2" t="n"/>
      <c r="B351" s="2" t="n"/>
      <c r="C351" s="2" t="n"/>
      <c r="D351" s="2" t="n"/>
      <c r="E351" s="2" t="n"/>
      <c r="F351" s="2" t="n"/>
      <c r="I351" s="2" t="n"/>
    </row>
    <row r="352" ht="15.75" customHeight="1" s="38">
      <c r="A352" s="2" t="n"/>
      <c r="B352" s="2" t="n"/>
      <c r="C352" s="2" t="n"/>
      <c r="D352" s="2" t="n"/>
      <c r="E352" s="2" t="n"/>
      <c r="F352" s="2" t="n"/>
      <c r="I352" s="2" t="n"/>
    </row>
    <row r="353" ht="15.75" customHeight="1" s="38">
      <c r="A353" s="2" t="n"/>
      <c r="B353" s="2" t="n"/>
      <c r="C353" s="2" t="n"/>
      <c r="D353" s="2" t="n"/>
      <c r="E353" s="2" t="n"/>
      <c r="F353" s="2" t="n"/>
      <c r="I353" s="2" t="n"/>
    </row>
    <row r="354" ht="15.75" customHeight="1" s="38">
      <c r="A354" s="2" t="n"/>
      <c r="B354" s="2" t="n"/>
      <c r="C354" s="2" t="n"/>
      <c r="D354" s="2" t="n"/>
      <c r="E354" s="2" t="n"/>
      <c r="F354" s="2" t="n"/>
      <c r="I354" s="2" t="n"/>
    </row>
    <row r="355" ht="15.75" customHeight="1" s="38">
      <c r="A355" s="2" t="n"/>
      <c r="B355" s="2" t="n"/>
      <c r="C355" s="2" t="n"/>
      <c r="D355" s="2" t="n"/>
      <c r="E355" s="2" t="n"/>
      <c r="F355" s="2" t="n"/>
      <c r="I355" s="2" t="n"/>
    </row>
    <row r="356" ht="15.75" customHeight="1" s="38">
      <c r="A356" s="2" t="n"/>
      <c r="B356" s="2" t="n"/>
      <c r="C356" s="2" t="n"/>
      <c r="D356" s="2" t="n"/>
      <c r="E356" s="2" t="n"/>
      <c r="F356" s="2" t="n"/>
      <c r="I356" s="2" t="n"/>
    </row>
    <row r="357" ht="15.75" customHeight="1" s="38">
      <c r="A357" s="2" t="n"/>
      <c r="B357" s="2" t="n"/>
      <c r="C357" s="2" t="n"/>
      <c r="D357" s="2" t="n"/>
      <c r="E357" s="2" t="n"/>
      <c r="F357" s="2" t="n"/>
      <c r="I357" s="2" t="n"/>
    </row>
    <row r="358" ht="15.75" customHeight="1" s="38">
      <c r="A358" s="2" t="n"/>
      <c r="B358" s="2" t="n"/>
      <c r="C358" s="2" t="n"/>
      <c r="D358" s="2" t="n"/>
      <c r="E358" s="2" t="n"/>
      <c r="F358" s="2" t="n"/>
      <c r="I358" s="2" t="n"/>
    </row>
    <row r="359" ht="15.75" customHeight="1" s="38">
      <c r="A359" s="2" t="n"/>
      <c r="B359" s="2" t="n"/>
      <c r="C359" s="2" t="n"/>
      <c r="D359" s="2" t="n"/>
      <c r="E359" s="2" t="n"/>
      <c r="F359" s="2" t="n"/>
      <c r="I359" s="2" t="n"/>
    </row>
    <row r="360" ht="15.75" customHeight="1" s="38">
      <c r="A360" s="2" t="n"/>
      <c r="B360" s="2" t="n"/>
      <c r="C360" s="2" t="n"/>
      <c r="D360" s="2" t="n"/>
      <c r="E360" s="2" t="n"/>
      <c r="F360" s="2" t="n"/>
      <c r="I360" s="2" t="n"/>
    </row>
    <row r="361" ht="15.75" customHeight="1" s="38">
      <c r="A361" s="2" t="n"/>
      <c r="B361" s="2" t="n"/>
      <c r="C361" s="2" t="n"/>
      <c r="D361" s="2" t="n"/>
      <c r="E361" s="2" t="n"/>
      <c r="F361" s="2" t="n"/>
      <c r="I361" s="2" t="n"/>
    </row>
    <row r="362" ht="15.75" customHeight="1" s="38">
      <c r="A362" s="2" t="n"/>
      <c r="B362" s="2" t="n"/>
      <c r="C362" s="2" t="n"/>
      <c r="D362" s="2" t="n"/>
      <c r="E362" s="2" t="n"/>
      <c r="F362" s="2" t="n"/>
      <c r="I362" s="2" t="n"/>
    </row>
    <row r="363" ht="15.75" customHeight="1" s="38">
      <c r="A363" s="2" t="n"/>
      <c r="B363" s="2" t="n"/>
      <c r="C363" s="2" t="n"/>
      <c r="D363" s="2" t="n"/>
      <c r="E363" s="2" t="n"/>
      <c r="F363" s="2" t="n"/>
      <c r="I363" s="2" t="n"/>
    </row>
    <row r="364" ht="15.75" customHeight="1" s="38">
      <c r="A364" s="2" t="n"/>
      <c r="B364" s="2" t="n"/>
      <c r="C364" s="2" t="n"/>
      <c r="D364" s="2" t="n"/>
      <c r="E364" s="2" t="n"/>
      <c r="F364" s="2" t="n"/>
      <c r="I364" s="2" t="n"/>
    </row>
    <row r="365" ht="15.75" customHeight="1" s="38">
      <c r="A365" s="2" t="n"/>
      <c r="B365" s="2" t="n"/>
      <c r="C365" s="2" t="n"/>
      <c r="D365" s="2" t="n"/>
      <c r="E365" s="2" t="n"/>
      <c r="F365" s="2" t="n"/>
      <c r="I365" s="2" t="n"/>
    </row>
    <row r="366" ht="15.75" customHeight="1" s="38">
      <c r="A366" s="2" t="n"/>
      <c r="B366" s="2" t="n"/>
      <c r="C366" s="2" t="n"/>
      <c r="D366" s="2" t="n"/>
      <c r="E366" s="2" t="n"/>
      <c r="F366" s="2" t="n"/>
      <c r="I366" s="2" t="n"/>
    </row>
    <row r="367" ht="15.75" customHeight="1" s="38">
      <c r="A367" s="2" t="n"/>
      <c r="B367" s="2" t="n"/>
      <c r="C367" s="2" t="n"/>
      <c r="D367" s="2" t="n"/>
      <c r="E367" s="2" t="n"/>
      <c r="F367" s="2" t="n"/>
      <c r="I367" s="2" t="n"/>
    </row>
    <row r="368" ht="15.75" customHeight="1" s="38">
      <c r="A368" s="2" t="n"/>
      <c r="B368" s="2" t="n"/>
      <c r="C368" s="2" t="n"/>
      <c r="D368" s="2" t="n"/>
      <c r="E368" s="2" t="n"/>
      <c r="F368" s="2" t="n"/>
      <c r="I368" s="2" t="n"/>
    </row>
    <row r="369" ht="15.75" customHeight="1" s="38">
      <c r="A369" s="2" t="n"/>
      <c r="B369" s="2" t="n"/>
      <c r="C369" s="2" t="n"/>
      <c r="D369" s="2" t="n"/>
      <c r="E369" s="2" t="n"/>
      <c r="F369" s="2" t="n"/>
      <c r="I369" s="2" t="n"/>
    </row>
    <row r="370" ht="15.75" customHeight="1" s="38">
      <c r="A370" s="2" t="n"/>
      <c r="B370" s="2" t="n"/>
      <c r="C370" s="2" t="n"/>
      <c r="D370" s="2" t="n"/>
      <c r="E370" s="2" t="n"/>
      <c r="F370" s="2" t="n"/>
      <c r="I370" s="2" t="n"/>
    </row>
    <row r="371" ht="15.75" customHeight="1" s="38">
      <c r="A371" s="2" t="n"/>
      <c r="B371" s="2" t="n"/>
      <c r="C371" s="2" t="n"/>
      <c r="D371" s="2" t="n"/>
      <c r="E371" s="2" t="n"/>
      <c r="F371" s="2" t="n"/>
      <c r="I371" s="2" t="n"/>
    </row>
    <row r="372" ht="15.75" customHeight="1" s="38">
      <c r="A372" s="2" t="n"/>
      <c r="B372" s="2" t="n"/>
      <c r="C372" s="2" t="n"/>
      <c r="D372" s="2" t="n"/>
      <c r="E372" s="2" t="n"/>
      <c r="F372" s="2" t="n"/>
      <c r="I372" s="2" t="n"/>
    </row>
    <row r="373" ht="15.75" customHeight="1" s="38">
      <c r="A373" s="2" t="n"/>
      <c r="B373" s="2" t="n"/>
      <c r="C373" s="2" t="n"/>
      <c r="D373" s="2" t="n"/>
      <c r="E373" s="2" t="n"/>
      <c r="F373" s="2" t="n"/>
      <c r="I373" s="2" t="n"/>
    </row>
    <row r="374" ht="15.75" customHeight="1" s="38">
      <c r="A374" s="2" t="n"/>
      <c r="B374" s="2" t="n"/>
      <c r="C374" s="2" t="n"/>
      <c r="D374" s="2" t="n"/>
      <c r="E374" s="2" t="n"/>
      <c r="F374" s="2" t="n"/>
      <c r="I374" s="2" t="n"/>
    </row>
    <row r="375" ht="15.75" customHeight="1" s="38">
      <c r="A375" s="2" t="n"/>
      <c r="B375" s="2" t="n"/>
      <c r="C375" s="2" t="n"/>
      <c r="D375" s="2" t="n"/>
      <c r="E375" s="2" t="n"/>
      <c r="F375" s="2" t="n"/>
      <c r="I375" s="2" t="n"/>
    </row>
    <row r="376" ht="15.75" customHeight="1" s="38">
      <c r="A376" s="2" t="n"/>
      <c r="B376" s="2" t="n"/>
      <c r="C376" s="2" t="n"/>
      <c r="D376" s="2" t="n"/>
      <c r="E376" s="2" t="n"/>
      <c r="F376" s="2" t="n"/>
      <c r="I376" s="2" t="n"/>
    </row>
    <row r="377" ht="15.75" customHeight="1" s="38">
      <c r="A377" s="2" t="n"/>
      <c r="B377" s="2" t="n"/>
      <c r="C377" s="2" t="n"/>
      <c r="D377" s="2" t="n"/>
      <c r="E377" s="2" t="n"/>
      <c r="F377" s="2" t="n"/>
      <c r="I377" s="2" t="n"/>
    </row>
    <row r="378" ht="15.75" customHeight="1" s="38">
      <c r="A378" s="2" t="n"/>
      <c r="B378" s="2" t="n"/>
      <c r="C378" s="2" t="n"/>
      <c r="D378" s="2" t="n"/>
      <c r="E378" s="2" t="n"/>
      <c r="F378" s="2" t="n"/>
      <c r="I378" s="2" t="n"/>
    </row>
    <row r="379" ht="15.75" customHeight="1" s="38">
      <c r="A379" s="2" t="n"/>
      <c r="B379" s="2" t="n"/>
      <c r="C379" s="2" t="n"/>
      <c r="D379" s="2" t="n"/>
      <c r="E379" s="2" t="n"/>
      <c r="F379" s="2" t="n"/>
      <c r="I379" s="2" t="n"/>
    </row>
    <row r="380" ht="15.75" customHeight="1" s="38">
      <c r="A380" s="2" t="n"/>
      <c r="B380" s="2" t="n"/>
      <c r="C380" s="2" t="n"/>
      <c r="D380" s="2" t="n"/>
      <c r="E380" s="2" t="n"/>
      <c r="F380" s="2" t="n"/>
      <c r="I380" s="2" t="n"/>
    </row>
    <row r="381" ht="15.75" customHeight="1" s="38">
      <c r="A381" s="2" t="n"/>
      <c r="B381" s="2" t="n"/>
      <c r="C381" s="2" t="n"/>
      <c r="D381" s="2" t="n"/>
      <c r="E381" s="2" t="n"/>
      <c r="F381" s="2" t="n"/>
      <c r="I381" s="2" t="n"/>
    </row>
    <row r="382" ht="15.75" customHeight="1" s="38">
      <c r="A382" s="2" t="n"/>
      <c r="B382" s="2" t="n"/>
      <c r="C382" s="2" t="n"/>
      <c r="D382" s="2" t="n"/>
      <c r="E382" s="2" t="n"/>
      <c r="F382" s="2" t="n"/>
      <c r="I382" s="2" t="n"/>
    </row>
    <row r="383" ht="15.75" customHeight="1" s="38">
      <c r="A383" s="2" t="n"/>
      <c r="B383" s="2" t="n"/>
      <c r="C383" s="2" t="n"/>
      <c r="D383" s="2" t="n"/>
      <c r="E383" s="2" t="n"/>
      <c r="F383" s="2" t="n"/>
      <c r="I383" s="2" t="n"/>
    </row>
    <row r="384" ht="15.75" customHeight="1" s="38">
      <c r="A384" s="2" t="n"/>
      <c r="B384" s="2" t="n"/>
      <c r="C384" s="2" t="n"/>
      <c r="D384" s="2" t="n"/>
      <c r="E384" s="2" t="n"/>
      <c r="F384" s="2" t="n"/>
      <c r="I384" s="2" t="n"/>
    </row>
    <row r="385" ht="15.75" customHeight="1" s="38">
      <c r="A385" s="2" t="n"/>
      <c r="B385" s="2" t="n"/>
      <c r="C385" s="2" t="n"/>
      <c r="D385" s="2" t="n"/>
      <c r="E385" s="2" t="n"/>
      <c r="F385" s="2" t="n"/>
      <c r="I385" s="2" t="n"/>
    </row>
    <row r="386" ht="15.75" customHeight="1" s="38">
      <c r="A386" s="2" t="n"/>
      <c r="B386" s="2" t="n"/>
      <c r="C386" s="2" t="n"/>
      <c r="D386" s="2" t="n"/>
      <c r="E386" s="2" t="n"/>
      <c r="F386" s="2" t="n"/>
      <c r="I386" s="2" t="n"/>
    </row>
    <row r="387" ht="15.75" customHeight="1" s="38">
      <c r="A387" s="2" t="n"/>
      <c r="B387" s="2" t="n"/>
      <c r="C387" s="2" t="n"/>
      <c r="D387" s="2" t="n"/>
      <c r="E387" s="2" t="n"/>
      <c r="F387" s="2" t="n"/>
      <c r="I387" s="2" t="n"/>
    </row>
    <row r="388" ht="15.75" customHeight="1" s="38">
      <c r="A388" s="2" t="n"/>
      <c r="B388" s="2" t="n"/>
      <c r="C388" s="2" t="n"/>
      <c r="D388" s="2" t="n"/>
      <c r="E388" s="2" t="n"/>
      <c r="F388" s="2" t="n"/>
      <c r="I388" s="2" t="n"/>
    </row>
    <row r="389" ht="15.75" customHeight="1" s="38">
      <c r="A389" s="2" t="n"/>
      <c r="B389" s="2" t="n"/>
      <c r="C389" s="2" t="n"/>
      <c r="D389" s="2" t="n"/>
      <c r="E389" s="2" t="n"/>
      <c r="F389" s="2" t="n"/>
      <c r="I389" s="2" t="n"/>
    </row>
    <row r="390" ht="15.75" customHeight="1" s="38">
      <c r="A390" s="2" t="n"/>
      <c r="B390" s="2" t="n"/>
      <c r="C390" s="2" t="n"/>
      <c r="D390" s="2" t="n"/>
      <c r="E390" s="2" t="n"/>
      <c r="F390" s="2" t="n"/>
      <c r="I390" s="2" t="n"/>
    </row>
    <row r="391" ht="15.75" customHeight="1" s="38">
      <c r="A391" s="2" t="n"/>
      <c r="B391" s="2" t="n"/>
      <c r="C391" s="2" t="n"/>
      <c r="D391" s="2" t="n"/>
      <c r="E391" s="2" t="n"/>
      <c r="F391" s="2" t="n"/>
      <c r="I391" s="2" t="n"/>
    </row>
    <row r="392" ht="15.75" customHeight="1" s="38">
      <c r="A392" s="2" t="n"/>
      <c r="B392" s="2" t="n"/>
      <c r="C392" s="2" t="n"/>
      <c r="D392" s="2" t="n"/>
      <c r="E392" s="2" t="n"/>
      <c r="F392" s="2" t="n"/>
      <c r="I392" s="2" t="n"/>
    </row>
    <row r="393" ht="15.75" customHeight="1" s="38">
      <c r="A393" s="2" t="n"/>
      <c r="B393" s="2" t="n"/>
      <c r="C393" s="2" t="n"/>
      <c r="D393" s="2" t="n"/>
      <c r="E393" s="2" t="n"/>
      <c r="F393" s="2" t="n"/>
      <c r="I393" s="2" t="n"/>
    </row>
    <row r="394" ht="15.75" customHeight="1" s="38">
      <c r="A394" s="2" t="n"/>
      <c r="B394" s="2" t="n"/>
      <c r="C394" s="2" t="n"/>
      <c r="D394" s="2" t="n"/>
      <c r="E394" s="2" t="n"/>
      <c r="F394" s="2" t="n"/>
      <c r="I394" s="2" t="n"/>
    </row>
    <row r="395" ht="15.75" customHeight="1" s="38">
      <c r="A395" s="2" t="n"/>
      <c r="B395" s="2" t="n"/>
      <c r="C395" s="2" t="n"/>
      <c r="D395" s="2" t="n"/>
      <c r="E395" s="2" t="n"/>
      <c r="F395" s="2" t="n"/>
      <c r="I395" s="2" t="n"/>
    </row>
    <row r="396" ht="15.75" customHeight="1" s="38">
      <c r="A396" s="2" t="n"/>
      <c r="B396" s="2" t="n"/>
      <c r="C396" s="2" t="n"/>
      <c r="D396" s="2" t="n"/>
      <c r="E396" s="2" t="n"/>
      <c r="F396" s="2" t="n"/>
      <c r="I396" s="2" t="n"/>
    </row>
    <row r="397" ht="15.75" customHeight="1" s="38">
      <c r="A397" s="2" t="n"/>
      <c r="B397" s="2" t="n"/>
      <c r="C397" s="2" t="n"/>
      <c r="D397" s="2" t="n"/>
      <c r="E397" s="2" t="n"/>
      <c r="F397" s="2" t="n"/>
      <c r="I397" s="2" t="n"/>
    </row>
    <row r="398" ht="15.75" customHeight="1" s="38">
      <c r="A398" s="2" t="n"/>
      <c r="B398" s="2" t="n"/>
      <c r="C398" s="2" t="n"/>
      <c r="D398" s="2" t="n"/>
      <c r="E398" s="2" t="n"/>
      <c r="F398" s="2" t="n"/>
      <c r="I398" s="2" t="n"/>
    </row>
    <row r="399" ht="15.75" customHeight="1" s="38">
      <c r="A399" s="2" t="n"/>
      <c r="B399" s="2" t="n"/>
      <c r="C399" s="2" t="n"/>
      <c r="D399" s="2" t="n"/>
      <c r="E399" s="2" t="n"/>
      <c r="F399" s="2" t="n"/>
      <c r="I399" s="2" t="n"/>
    </row>
    <row r="400" ht="15.75" customHeight="1" s="38">
      <c r="A400" s="2" t="n"/>
      <c r="B400" s="2" t="n"/>
      <c r="C400" s="2" t="n"/>
      <c r="D400" s="2" t="n"/>
      <c r="E400" s="2" t="n"/>
      <c r="F400" s="2" t="n"/>
      <c r="I400" s="2" t="n"/>
    </row>
    <row r="401" ht="15.75" customHeight="1" s="38">
      <c r="A401" s="2" t="n"/>
      <c r="B401" s="2" t="n"/>
      <c r="C401" s="2" t="n"/>
      <c r="D401" s="2" t="n"/>
      <c r="E401" s="2" t="n"/>
      <c r="F401" s="2" t="n"/>
      <c r="I401" s="2" t="n"/>
    </row>
    <row r="402" ht="15.75" customHeight="1" s="38">
      <c r="A402" s="2" t="n"/>
      <c r="B402" s="2" t="n"/>
      <c r="C402" s="2" t="n"/>
      <c r="D402" s="2" t="n"/>
      <c r="E402" s="2" t="n"/>
      <c r="F402" s="2" t="n"/>
      <c r="I402" s="2" t="n"/>
    </row>
    <row r="403" ht="15.75" customHeight="1" s="38">
      <c r="A403" s="2" t="n"/>
      <c r="B403" s="2" t="n"/>
      <c r="C403" s="2" t="n"/>
      <c r="D403" s="2" t="n"/>
      <c r="E403" s="2" t="n"/>
      <c r="F403" s="2" t="n"/>
      <c r="I403" s="2" t="n"/>
    </row>
    <row r="404" ht="15.75" customHeight="1" s="38">
      <c r="A404" s="2" t="n"/>
      <c r="B404" s="2" t="n"/>
      <c r="C404" s="2" t="n"/>
      <c r="D404" s="2" t="n"/>
      <c r="E404" s="2" t="n"/>
      <c r="F404" s="2" t="n"/>
      <c r="I404" s="2" t="n"/>
    </row>
    <row r="405" ht="15.75" customHeight="1" s="38">
      <c r="A405" s="2" t="n"/>
      <c r="B405" s="2" t="n"/>
      <c r="C405" s="2" t="n"/>
      <c r="D405" s="2" t="n"/>
      <c r="E405" s="2" t="n"/>
      <c r="F405" s="2" t="n"/>
      <c r="I405" s="2" t="n"/>
    </row>
    <row r="406" ht="15.75" customHeight="1" s="38">
      <c r="A406" s="2" t="n"/>
      <c r="B406" s="2" t="n"/>
      <c r="C406" s="2" t="n"/>
      <c r="D406" s="2" t="n"/>
      <c r="E406" s="2" t="n"/>
      <c r="F406" s="2" t="n"/>
      <c r="I406" s="2" t="n"/>
    </row>
    <row r="407" ht="15.75" customHeight="1" s="38">
      <c r="A407" s="2" t="n"/>
      <c r="B407" s="2" t="n"/>
      <c r="C407" s="2" t="n"/>
      <c r="D407" s="2" t="n"/>
      <c r="E407" s="2" t="n"/>
      <c r="F407" s="2" t="n"/>
      <c r="I407" s="2" t="n"/>
    </row>
    <row r="408" ht="15.75" customHeight="1" s="38">
      <c r="A408" s="2" t="n"/>
      <c r="B408" s="2" t="n"/>
      <c r="C408" s="2" t="n"/>
      <c r="D408" s="2" t="n"/>
      <c r="E408" s="2" t="n"/>
      <c r="F408" s="2" t="n"/>
      <c r="I408" s="2" t="n"/>
    </row>
    <row r="409" ht="15.75" customHeight="1" s="38">
      <c r="A409" s="2" t="n"/>
      <c r="B409" s="2" t="n"/>
      <c r="C409" s="2" t="n"/>
      <c r="D409" s="2" t="n"/>
      <c r="E409" s="2" t="n"/>
      <c r="F409" s="2" t="n"/>
      <c r="I409" s="2" t="n"/>
    </row>
    <row r="410" ht="15.75" customHeight="1" s="38">
      <c r="A410" s="2" t="n"/>
      <c r="B410" s="2" t="n"/>
      <c r="C410" s="2" t="n"/>
      <c r="D410" s="2" t="n"/>
      <c r="E410" s="2" t="n"/>
      <c r="F410" s="2" t="n"/>
      <c r="I410" s="2" t="n"/>
    </row>
    <row r="411" ht="15.75" customHeight="1" s="38">
      <c r="A411" s="2" t="n"/>
      <c r="B411" s="2" t="n"/>
      <c r="C411" s="2" t="n"/>
      <c r="D411" s="2" t="n"/>
      <c r="E411" s="2" t="n"/>
      <c r="F411" s="2" t="n"/>
      <c r="I411" s="2" t="n"/>
    </row>
    <row r="412" ht="15.75" customHeight="1" s="38">
      <c r="A412" s="2" t="n"/>
      <c r="B412" s="2" t="n"/>
      <c r="C412" s="2" t="n"/>
      <c r="D412" s="2" t="n"/>
      <c r="E412" s="2" t="n"/>
      <c r="F412" s="2" t="n"/>
      <c r="I412" s="2" t="n"/>
    </row>
    <row r="413" ht="15.75" customHeight="1" s="38">
      <c r="A413" s="2" t="n"/>
      <c r="B413" s="2" t="n"/>
      <c r="C413" s="2" t="n"/>
      <c r="D413" s="2" t="n"/>
      <c r="E413" s="2" t="n"/>
      <c r="F413" s="2" t="n"/>
      <c r="I413" s="2" t="n"/>
    </row>
    <row r="414" ht="15.75" customHeight="1" s="38">
      <c r="A414" s="2" t="n"/>
      <c r="B414" s="2" t="n"/>
      <c r="C414" s="2" t="n"/>
      <c r="D414" s="2" t="n"/>
      <c r="E414" s="2" t="n"/>
      <c r="F414" s="2" t="n"/>
      <c r="I414" s="2" t="n"/>
    </row>
    <row r="415" ht="15.75" customHeight="1" s="38">
      <c r="A415" s="2" t="n"/>
      <c r="B415" s="2" t="n"/>
      <c r="C415" s="2" t="n"/>
      <c r="D415" s="2" t="n"/>
      <c r="E415" s="2" t="n"/>
      <c r="F415" s="2" t="n"/>
      <c r="I415" s="2" t="n"/>
    </row>
    <row r="416" ht="15.75" customHeight="1" s="38">
      <c r="A416" s="2" t="n"/>
      <c r="B416" s="2" t="n"/>
      <c r="C416" s="2" t="n"/>
      <c r="D416" s="2" t="n"/>
      <c r="E416" s="2" t="n"/>
      <c r="F416" s="2" t="n"/>
      <c r="I416" s="2" t="n"/>
    </row>
    <row r="417" ht="15.75" customHeight="1" s="38">
      <c r="A417" s="2" t="n"/>
      <c r="B417" s="2" t="n"/>
      <c r="C417" s="2" t="n"/>
      <c r="D417" s="2" t="n"/>
      <c r="E417" s="2" t="n"/>
      <c r="F417" s="2" t="n"/>
      <c r="I417" s="2" t="n"/>
    </row>
    <row r="418" ht="15.75" customHeight="1" s="38">
      <c r="A418" s="2" t="n"/>
      <c r="B418" s="2" t="n"/>
      <c r="C418" s="2" t="n"/>
      <c r="D418" s="2" t="n"/>
      <c r="E418" s="2" t="n"/>
      <c r="F418" s="2" t="n"/>
      <c r="I418" s="2" t="n"/>
    </row>
    <row r="419" ht="15.75" customHeight="1" s="38">
      <c r="A419" s="2" t="n"/>
      <c r="B419" s="2" t="n"/>
      <c r="C419" s="2" t="n"/>
      <c r="D419" s="2" t="n"/>
      <c r="E419" s="2" t="n"/>
      <c r="F419" s="2" t="n"/>
      <c r="I419" s="2" t="n"/>
    </row>
    <row r="420" ht="15.75" customHeight="1" s="38">
      <c r="A420" s="2" t="n"/>
      <c r="B420" s="2" t="n"/>
      <c r="C420" s="2" t="n"/>
      <c r="D420" s="2" t="n"/>
      <c r="E420" s="2" t="n"/>
      <c r="F420" s="2" t="n"/>
      <c r="I420" s="2" t="n"/>
    </row>
    <row r="421" ht="15.75" customHeight="1" s="38">
      <c r="A421" s="2" t="n"/>
      <c r="B421" s="2" t="n"/>
      <c r="C421" s="2" t="n"/>
      <c r="D421" s="2" t="n"/>
      <c r="E421" s="2" t="n"/>
      <c r="F421" s="2" t="n"/>
      <c r="I421" s="2" t="n"/>
    </row>
    <row r="422" ht="15.75" customHeight="1" s="38">
      <c r="A422" s="2" t="n"/>
      <c r="B422" s="2" t="n"/>
      <c r="C422" s="2" t="n"/>
      <c r="D422" s="2" t="n"/>
      <c r="E422" s="2" t="n"/>
      <c r="F422" s="2" t="n"/>
      <c r="I422" s="2" t="n"/>
    </row>
    <row r="423" ht="15.75" customHeight="1" s="38">
      <c r="A423" s="2" t="n"/>
      <c r="B423" s="2" t="n"/>
      <c r="C423" s="2" t="n"/>
      <c r="D423" s="2" t="n"/>
      <c r="E423" s="2" t="n"/>
      <c r="F423" s="2" t="n"/>
      <c r="I423" s="2" t="n"/>
    </row>
    <row r="424" ht="15.75" customHeight="1" s="38">
      <c r="A424" s="2" t="n"/>
      <c r="B424" s="2" t="n"/>
      <c r="C424" s="2" t="n"/>
      <c r="D424" s="2" t="n"/>
      <c r="E424" s="2" t="n"/>
      <c r="F424" s="2" t="n"/>
      <c r="I424" s="2" t="n"/>
    </row>
    <row r="425" ht="15.75" customHeight="1" s="38">
      <c r="A425" s="2" t="n"/>
      <c r="B425" s="2" t="n"/>
      <c r="C425" s="2" t="n"/>
      <c r="D425" s="2" t="n"/>
      <c r="E425" s="2" t="n"/>
      <c r="F425" s="2" t="n"/>
      <c r="I425" s="2" t="n"/>
    </row>
    <row r="426" ht="15.75" customHeight="1" s="38">
      <c r="A426" s="2" t="n"/>
      <c r="B426" s="2" t="n"/>
      <c r="C426" s="2" t="n"/>
      <c r="D426" s="2" t="n"/>
      <c r="E426" s="2" t="n"/>
      <c r="F426" s="2" t="n"/>
      <c r="I426" s="2" t="n"/>
    </row>
    <row r="427" ht="15.75" customHeight="1" s="38">
      <c r="A427" s="2" t="n"/>
      <c r="B427" s="2" t="n"/>
      <c r="C427" s="2" t="n"/>
      <c r="D427" s="2" t="n"/>
      <c r="E427" s="2" t="n"/>
      <c r="F427" s="2" t="n"/>
      <c r="I427" s="2" t="n"/>
    </row>
    <row r="428" ht="15.75" customHeight="1" s="38">
      <c r="A428" s="2" t="n"/>
      <c r="B428" s="2" t="n"/>
      <c r="C428" s="2" t="n"/>
      <c r="D428" s="2" t="n"/>
      <c r="E428" s="2" t="n"/>
      <c r="F428" s="2" t="n"/>
      <c r="I428" s="2" t="n"/>
    </row>
    <row r="429" ht="15.75" customHeight="1" s="38">
      <c r="A429" s="2" t="n"/>
      <c r="B429" s="2" t="n"/>
      <c r="C429" s="2" t="n"/>
      <c r="D429" s="2" t="n"/>
      <c r="E429" s="2" t="n"/>
      <c r="F429" s="2" t="n"/>
      <c r="I429" s="2" t="n"/>
    </row>
    <row r="430" ht="15.75" customHeight="1" s="38">
      <c r="A430" s="2" t="n"/>
      <c r="B430" s="2" t="n"/>
      <c r="C430" s="2" t="n"/>
      <c r="D430" s="2" t="n"/>
      <c r="E430" s="2" t="n"/>
      <c r="F430" s="2" t="n"/>
      <c r="I430" s="2" t="n"/>
    </row>
    <row r="431" ht="15.75" customHeight="1" s="38">
      <c r="A431" s="2" t="n"/>
      <c r="B431" s="2" t="n"/>
      <c r="C431" s="2" t="n"/>
      <c r="D431" s="2" t="n"/>
      <c r="E431" s="2" t="n"/>
      <c r="F431" s="2" t="n"/>
      <c r="I431" s="2" t="n"/>
    </row>
    <row r="432" ht="15.75" customHeight="1" s="38">
      <c r="A432" s="2" t="n"/>
      <c r="B432" s="2" t="n"/>
      <c r="C432" s="2" t="n"/>
      <c r="D432" s="2" t="n"/>
      <c r="E432" s="2" t="n"/>
      <c r="F432" s="2" t="n"/>
      <c r="I432" s="2" t="n"/>
    </row>
    <row r="433" ht="15.75" customHeight="1" s="38">
      <c r="A433" s="2" t="n"/>
      <c r="B433" s="2" t="n"/>
      <c r="C433" s="2" t="n"/>
      <c r="D433" s="2" t="n"/>
      <c r="E433" s="2" t="n"/>
      <c r="F433" s="2" t="n"/>
      <c r="I433" s="2" t="n"/>
    </row>
    <row r="434" ht="15.75" customHeight="1" s="38">
      <c r="A434" s="2" t="n"/>
      <c r="B434" s="2" t="n"/>
      <c r="C434" s="2" t="n"/>
      <c r="D434" s="2" t="n"/>
      <c r="E434" s="2" t="n"/>
      <c r="F434" s="2" t="n"/>
      <c r="I434" s="2" t="n"/>
    </row>
    <row r="435" ht="15.75" customHeight="1" s="38">
      <c r="A435" s="2" t="n"/>
      <c r="B435" s="2" t="n"/>
      <c r="C435" s="2" t="n"/>
      <c r="D435" s="2" t="n"/>
      <c r="E435" s="2" t="n"/>
      <c r="F435" s="2" t="n"/>
      <c r="I435" s="2" t="n"/>
    </row>
    <row r="436" ht="15.75" customHeight="1" s="38">
      <c r="A436" s="2" t="n"/>
      <c r="B436" s="2" t="n"/>
      <c r="C436" s="2" t="n"/>
      <c r="D436" s="2" t="n"/>
      <c r="E436" s="2" t="n"/>
      <c r="F436" s="2" t="n"/>
      <c r="I436" s="2" t="n"/>
    </row>
    <row r="437" ht="15.75" customHeight="1" s="38">
      <c r="A437" s="2" t="n"/>
      <c r="B437" s="2" t="n"/>
      <c r="C437" s="2" t="n"/>
      <c r="D437" s="2" t="n"/>
      <c r="E437" s="2" t="n"/>
      <c r="F437" s="2" t="n"/>
      <c r="I437" s="2" t="n"/>
    </row>
    <row r="438" ht="15.75" customHeight="1" s="38">
      <c r="A438" s="2" t="n"/>
      <c r="B438" s="2" t="n"/>
      <c r="C438" s="2" t="n"/>
      <c r="D438" s="2" t="n"/>
      <c r="E438" s="2" t="n"/>
      <c r="F438" s="2" t="n"/>
      <c r="I438" s="2" t="n"/>
    </row>
    <row r="439" ht="15.75" customHeight="1" s="38">
      <c r="A439" s="2" t="n"/>
      <c r="B439" s="2" t="n"/>
      <c r="C439" s="2" t="n"/>
      <c r="D439" s="2" t="n"/>
      <c r="E439" s="2" t="n"/>
      <c r="F439" s="2" t="n"/>
      <c r="I439" s="2" t="n"/>
    </row>
    <row r="440" ht="15.75" customHeight="1" s="38">
      <c r="A440" s="2" t="n"/>
      <c r="B440" s="2" t="n"/>
      <c r="C440" s="2" t="n"/>
      <c r="D440" s="2" t="n"/>
      <c r="E440" s="2" t="n"/>
      <c r="F440" s="2" t="n"/>
      <c r="I440" s="2" t="n"/>
    </row>
    <row r="441" ht="15.75" customHeight="1" s="38">
      <c r="A441" s="2" t="n"/>
      <c r="B441" s="2" t="n"/>
      <c r="C441" s="2" t="n"/>
      <c r="D441" s="2" t="n"/>
      <c r="E441" s="2" t="n"/>
      <c r="F441" s="2" t="n"/>
      <c r="I441" s="2" t="n"/>
    </row>
    <row r="442" ht="15.75" customHeight="1" s="38">
      <c r="A442" s="2" t="n"/>
      <c r="B442" s="2" t="n"/>
      <c r="C442" s="2" t="n"/>
      <c r="D442" s="2" t="n"/>
      <c r="E442" s="2" t="n"/>
      <c r="F442" s="2" t="n"/>
      <c r="I442" s="2" t="n"/>
    </row>
    <row r="443" ht="15.75" customHeight="1" s="38">
      <c r="A443" s="2" t="n"/>
      <c r="B443" s="2" t="n"/>
      <c r="C443" s="2" t="n"/>
      <c r="D443" s="2" t="n"/>
      <c r="E443" s="2" t="n"/>
      <c r="F443" s="2" t="n"/>
      <c r="I443" s="2" t="n"/>
    </row>
    <row r="444" ht="15.75" customHeight="1" s="38">
      <c r="A444" s="2" t="n"/>
      <c r="B444" s="2" t="n"/>
      <c r="C444" s="2" t="n"/>
      <c r="D444" s="2" t="n"/>
      <c r="E444" s="2" t="n"/>
      <c r="F444" s="2" t="n"/>
      <c r="I444" s="2" t="n"/>
    </row>
    <row r="445" ht="15.75" customHeight="1" s="38">
      <c r="A445" s="2" t="n"/>
      <c r="B445" s="2" t="n"/>
      <c r="C445" s="2" t="n"/>
      <c r="D445" s="2" t="n"/>
      <c r="E445" s="2" t="n"/>
      <c r="F445" s="2" t="n"/>
      <c r="I445" s="2" t="n"/>
    </row>
    <row r="446" ht="15.75" customHeight="1" s="38">
      <c r="A446" s="2" t="n"/>
      <c r="B446" s="2" t="n"/>
      <c r="C446" s="2" t="n"/>
      <c r="D446" s="2" t="n"/>
      <c r="E446" s="2" t="n"/>
      <c r="F446" s="2" t="n"/>
      <c r="I446" s="2" t="n"/>
    </row>
    <row r="447" ht="15.75" customHeight="1" s="38">
      <c r="A447" s="2" t="n"/>
      <c r="B447" s="2" t="n"/>
      <c r="C447" s="2" t="n"/>
      <c r="D447" s="2" t="n"/>
      <c r="E447" s="2" t="n"/>
      <c r="F447" s="2" t="n"/>
      <c r="I447" s="2" t="n"/>
    </row>
    <row r="448" ht="15.75" customHeight="1" s="38">
      <c r="A448" s="2" t="n"/>
      <c r="B448" s="2" t="n"/>
      <c r="C448" s="2" t="n"/>
      <c r="D448" s="2" t="n"/>
      <c r="E448" s="2" t="n"/>
      <c r="F448" s="2" t="n"/>
      <c r="I448" s="2" t="n"/>
    </row>
    <row r="449" ht="15.75" customHeight="1" s="38">
      <c r="A449" s="2" t="n"/>
      <c r="B449" s="2" t="n"/>
      <c r="C449" s="2" t="n"/>
      <c r="D449" s="2" t="n"/>
      <c r="E449" s="2" t="n"/>
      <c r="F449" s="2" t="n"/>
      <c r="I449" s="2" t="n"/>
    </row>
    <row r="450" ht="15.75" customHeight="1" s="38">
      <c r="A450" s="2" t="n"/>
      <c r="B450" s="2" t="n"/>
      <c r="C450" s="2" t="n"/>
      <c r="D450" s="2" t="n"/>
      <c r="E450" s="2" t="n"/>
      <c r="F450" s="2" t="n"/>
      <c r="I450" s="2" t="n"/>
    </row>
    <row r="451" ht="15.75" customHeight="1" s="38">
      <c r="A451" s="2" t="n"/>
      <c r="B451" s="2" t="n"/>
      <c r="C451" s="2" t="n"/>
      <c r="D451" s="2" t="n"/>
      <c r="E451" s="2" t="n"/>
      <c r="F451" s="2" t="n"/>
      <c r="I451" s="2" t="n"/>
    </row>
    <row r="452" ht="15.75" customHeight="1" s="38">
      <c r="A452" s="2" t="n"/>
      <c r="B452" s="2" t="n"/>
      <c r="C452" s="2" t="n"/>
      <c r="D452" s="2" t="n"/>
      <c r="E452" s="2" t="n"/>
      <c r="F452" s="2" t="n"/>
      <c r="I452" s="2" t="n"/>
    </row>
    <row r="453" ht="15.75" customHeight="1" s="38">
      <c r="A453" s="2" t="n"/>
      <c r="B453" s="2" t="n"/>
      <c r="C453" s="2" t="n"/>
      <c r="D453" s="2" t="n"/>
      <c r="E453" s="2" t="n"/>
      <c r="F453" s="2" t="n"/>
      <c r="I453" s="2" t="n"/>
    </row>
    <row r="454" ht="15.75" customHeight="1" s="38">
      <c r="A454" s="2" t="n"/>
      <c r="B454" s="2" t="n"/>
      <c r="C454" s="2" t="n"/>
      <c r="D454" s="2" t="n"/>
      <c r="E454" s="2" t="n"/>
      <c r="F454" s="2" t="n"/>
      <c r="I454" s="2" t="n"/>
    </row>
    <row r="455" ht="15.75" customHeight="1" s="38">
      <c r="A455" s="2" t="n"/>
      <c r="B455" s="2" t="n"/>
      <c r="C455" s="2" t="n"/>
      <c r="D455" s="2" t="n"/>
      <c r="E455" s="2" t="n"/>
      <c r="F455" s="2" t="n"/>
      <c r="I455" s="2" t="n"/>
    </row>
    <row r="456" ht="15.75" customHeight="1" s="38">
      <c r="A456" s="2" t="n"/>
      <c r="B456" s="2" t="n"/>
      <c r="C456" s="2" t="n"/>
      <c r="D456" s="2" t="n"/>
      <c r="E456" s="2" t="n"/>
      <c r="F456" s="2" t="n"/>
      <c r="I456" s="2" t="n"/>
    </row>
    <row r="457" ht="15.75" customHeight="1" s="38">
      <c r="A457" s="2" t="n"/>
      <c r="B457" s="2" t="n"/>
      <c r="C457" s="2" t="n"/>
      <c r="D457" s="2" t="n"/>
      <c r="E457" s="2" t="n"/>
      <c r="F457" s="2" t="n"/>
      <c r="I457" s="2" t="n"/>
    </row>
    <row r="458" ht="15.75" customHeight="1" s="38">
      <c r="A458" s="2" t="n"/>
      <c r="B458" s="2" t="n"/>
      <c r="C458" s="2" t="n"/>
      <c r="D458" s="2" t="n"/>
      <c r="E458" s="2" t="n"/>
      <c r="F458" s="2" t="n"/>
      <c r="I458" s="2" t="n"/>
    </row>
    <row r="459" ht="15.75" customHeight="1" s="38">
      <c r="A459" s="2" t="n"/>
      <c r="B459" s="2" t="n"/>
      <c r="C459" s="2" t="n"/>
      <c r="D459" s="2" t="n"/>
      <c r="E459" s="2" t="n"/>
      <c r="F459" s="2" t="n"/>
      <c r="I459" s="2" t="n"/>
    </row>
    <row r="460" ht="15.75" customHeight="1" s="38">
      <c r="A460" s="2" t="n"/>
      <c r="B460" s="2" t="n"/>
      <c r="C460" s="2" t="n"/>
      <c r="D460" s="2" t="n"/>
      <c r="E460" s="2" t="n"/>
      <c r="F460" s="2" t="n"/>
      <c r="I460" s="2" t="n"/>
    </row>
    <row r="461" ht="15.75" customHeight="1" s="38">
      <c r="A461" s="2" t="n"/>
      <c r="B461" s="2" t="n"/>
      <c r="C461" s="2" t="n"/>
      <c r="D461" s="2" t="n"/>
      <c r="E461" s="2" t="n"/>
      <c r="F461" s="2" t="n"/>
      <c r="I461" s="2" t="n"/>
    </row>
    <row r="462" ht="15.75" customHeight="1" s="38">
      <c r="A462" s="2" t="n"/>
      <c r="B462" s="2" t="n"/>
      <c r="C462" s="2" t="n"/>
      <c r="D462" s="2" t="n"/>
      <c r="E462" s="2" t="n"/>
      <c r="F462" s="2" t="n"/>
      <c r="I462" s="2" t="n"/>
    </row>
    <row r="463" ht="15.75" customHeight="1" s="38">
      <c r="A463" s="2" t="n"/>
      <c r="B463" s="2" t="n"/>
      <c r="C463" s="2" t="n"/>
      <c r="D463" s="2" t="n"/>
      <c r="E463" s="2" t="n"/>
      <c r="F463" s="2" t="n"/>
      <c r="I463" s="2" t="n"/>
    </row>
    <row r="464" ht="15.75" customHeight="1" s="38">
      <c r="A464" s="2" t="n"/>
      <c r="B464" s="2" t="n"/>
      <c r="C464" s="2" t="n"/>
      <c r="D464" s="2" t="n"/>
      <c r="E464" s="2" t="n"/>
      <c r="F464" s="2" t="n"/>
      <c r="I464" s="2" t="n"/>
    </row>
    <row r="465" ht="15.75" customHeight="1" s="38">
      <c r="A465" s="2" t="n"/>
      <c r="B465" s="2" t="n"/>
      <c r="C465" s="2" t="n"/>
      <c r="D465" s="2" t="n"/>
      <c r="E465" s="2" t="n"/>
      <c r="F465" s="2" t="n"/>
      <c r="I465" s="2" t="n"/>
    </row>
    <row r="466" ht="15.75" customHeight="1" s="38">
      <c r="A466" s="2" t="n"/>
      <c r="B466" s="2" t="n"/>
      <c r="C466" s="2" t="n"/>
      <c r="D466" s="2" t="n"/>
      <c r="E466" s="2" t="n"/>
      <c r="F466" s="2" t="n"/>
      <c r="I466" s="2" t="n"/>
    </row>
    <row r="467" ht="15.75" customHeight="1" s="38">
      <c r="A467" s="2" t="n"/>
      <c r="B467" s="2" t="n"/>
      <c r="C467" s="2" t="n"/>
      <c r="D467" s="2" t="n"/>
      <c r="E467" s="2" t="n"/>
      <c r="F467" s="2" t="n"/>
      <c r="I467" s="2" t="n"/>
    </row>
    <row r="468" ht="15.75" customHeight="1" s="38">
      <c r="A468" s="2" t="n"/>
      <c r="B468" s="2" t="n"/>
      <c r="C468" s="2" t="n"/>
      <c r="D468" s="2" t="n"/>
      <c r="E468" s="2" t="n"/>
      <c r="F468" s="2" t="n"/>
      <c r="I468" s="2" t="n"/>
    </row>
    <row r="469" ht="15.75" customHeight="1" s="38">
      <c r="A469" s="2" t="n"/>
      <c r="B469" s="2" t="n"/>
      <c r="C469" s="2" t="n"/>
      <c r="D469" s="2" t="n"/>
      <c r="E469" s="2" t="n"/>
      <c r="F469" s="2" t="n"/>
      <c r="I469" s="2" t="n"/>
    </row>
    <row r="470" ht="15.75" customHeight="1" s="38">
      <c r="A470" s="2" t="n"/>
      <c r="B470" s="2" t="n"/>
      <c r="C470" s="2" t="n"/>
      <c r="D470" s="2" t="n"/>
      <c r="E470" s="2" t="n"/>
      <c r="F470" s="2" t="n"/>
      <c r="I470" s="2" t="n"/>
    </row>
    <row r="471" ht="15.75" customHeight="1" s="38">
      <c r="A471" s="2" t="n"/>
      <c r="B471" s="2" t="n"/>
      <c r="C471" s="2" t="n"/>
      <c r="D471" s="2" t="n"/>
      <c r="E471" s="2" t="n"/>
      <c r="F471" s="2" t="n"/>
      <c r="I471" s="2" t="n"/>
    </row>
    <row r="472" ht="15.75" customHeight="1" s="38">
      <c r="A472" s="2" t="n"/>
      <c r="B472" s="2" t="n"/>
      <c r="C472" s="2" t="n"/>
      <c r="D472" s="2" t="n"/>
      <c r="E472" s="2" t="n"/>
      <c r="F472" s="2" t="n"/>
      <c r="I472" s="2" t="n"/>
    </row>
    <row r="473" ht="15.75" customHeight="1" s="38">
      <c r="A473" s="2" t="n"/>
      <c r="B473" s="2" t="n"/>
      <c r="C473" s="2" t="n"/>
      <c r="D473" s="2" t="n"/>
      <c r="E473" s="2" t="n"/>
      <c r="F473" s="2" t="n"/>
      <c r="I473" s="2" t="n"/>
    </row>
    <row r="474" ht="15.75" customHeight="1" s="38">
      <c r="A474" s="2" t="n"/>
      <c r="B474" s="2" t="n"/>
      <c r="C474" s="2" t="n"/>
      <c r="D474" s="2" t="n"/>
      <c r="E474" s="2" t="n"/>
      <c r="F474" s="2" t="n"/>
      <c r="I474" s="2" t="n"/>
    </row>
    <row r="475" ht="15.75" customHeight="1" s="38">
      <c r="A475" s="2" t="n"/>
      <c r="B475" s="2" t="n"/>
      <c r="C475" s="2" t="n"/>
      <c r="D475" s="2" t="n"/>
      <c r="E475" s="2" t="n"/>
      <c r="F475" s="2" t="n"/>
      <c r="I475" s="2" t="n"/>
    </row>
    <row r="476" ht="15.75" customHeight="1" s="38">
      <c r="A476" s="2" t="n"/>
      <c r="B476" s="2" t="n"/>
      <c r="C476" s="2" t="n"/>
      <c r="D476" s="2" t="n"/>
      <c r="E476" s="2" t="n"/>
      <c r="F476" s="2" t="n"/>
      <c r="I476" s="2" t="n"/>
    </row>
    <row r="477" ht="15.75" customHeight="1" s="38">
      <c r="A477" s="2" t="n"/>
      <c r="B477" s="2" t="n"/>
      <c r="C477" s="2" t="n"/>
      <c r="D477" s="2" t="n"/>
      <c r="E477" s="2" t="n"/>
      <c r="F477" s="2" t="n"/>
      <c r="I477" s="2" t="n"/>
    </row>
    <row r="478" ht="15.75" customHeight="1" s="38">
      <c r="A478" s="2" t="n"/>
      <c r="B478" s="2" t="n"/>
      <c r="C478" s="2" t="n"/>
      <c r="D478" s="2" t="n"/>
      <c r="E478" s="2" t="n"/>
      <c r="F478" s="2" t="n"/>
      <c r="I478" s="2" t="n"/>
    </row>
    <row r="479" ht="15.75" customHeight="1" s="38">
      <c r="A479" s="2" t="n"/>
      <c r="B479" s="2" t="n"/>
      <c r="C479" s="2" t="n"/>
      <c r="D479" s="2" t="n"/>
      <c r="E479" s="2" t="n"/>
      <c r="F479" s="2" t="n"/>
      <c r="I479" s="2" t="n"/>
    </row>
    <row r="480" ht="15.75" customHeight="1" s="38">
      <c r="A480" s="2" t="n"/>
      <c r="B480" s="2" t="n"/>
      <c r="C480" s="2" t="n"/>
      <c r="D480" s="2" t="n"/>
      <c r="E480" s="2" t="n"/>
      <c r="F480" s="2" t="n"/>
      <c r="I480" s="2" t="n"/>
    </row>
    <row r="481" ht="15.75" customHeight="1" s="38">
      <c r="A481" s="2" t="n"/>
      <c r="B481" s="2" t="n"/>
      <c r="C481" s="2" t="n"/>
      <c r="D481" s="2" t="n"/>
      <c r="E481" s="2" t="n"/>
      <c r="F481" s="2" t="n"/>
      <c r="I481" s="2" t="n"/>
    </row>
    <row r="482" ht="15.75" customHeight="1" s="38">
      <c r="A482" s="2" t="n"/>
      <c r="B482" s="2" t="n"/>
      <c r="C482" s="2" t="n"/>
      <c r="D482" s="2" t="n"/>
      <c r="E482" s="2" t="n"/>
      <c r="F482" s="2" t="n"/>
      <c r="I482" s="2" t="n"/>
    </row>
    <row r="483" ht="15.75" customHeight="1" s="38">
      <c r="A483" s="2" t="n"/>
      <c r="B483" s="2" t="n"/>
      <c r="C483" s="2" t="n"/>
      <c r="D483" s="2" t="n"/>
      <c r="E483" s="2" t="n"/>
      <c r="F483" s="2" t="n"/>
      <c r="I483" s="2" t="n"/>
    </row>
    <row r="484" ht="15.75" customHeight="1" s="38">
      <c r="A484" s="2" t="n"/>
      <c r="B484" s="2" t="n"/>
      <c r="C484" s="2" t="n"/>
      <c r="D484" s="2" t="n"/>
      <c r="E484" s="2" t="n"/>
      <c r="F484" s="2" t="n"/>
      <c r="I484" s="2" t="n"/>
    </row>
    <row r="485" ht="15.75" customHeight="1" s="38">
      <c r="A485" s="2" t="n"/>
      <c r="B485" s="2" t="n"/>
      <c r="C485" s="2" t="n"/>
      <c r="D485" s="2" t="n"/>
      <c r="E485" s="2" t="n"/>
      <c r="F485" s="2" t="n"/>
      <c r="I485" s="2" t="n"/>
    </row>
    <row r="486" ht="15.75" customHeight="1" s="38">
      <c r="A486" s="2" t="n"/>
      <c r="B486" s="2" t="n"/>
      <c r="C486" s="2" t="n"/>
      <c r="D486" s="2" t="n"/>
      <c r="E486" s="2" t="n"/>
      <c r="F486" s="2" t="n"/>
      <c r="I486" s="2" t="n"/>
    </row>
    <row r="487" ht="15.75" customHeight="1" s="38">
      <c r="A487" s="2" t="n"/>
      <c r="B487" s="2" t="n"/>
      <c r="C487" s="2" t="n"/>
      <c r="D487" s="2" t="n"/>
      <c r="E487" s="2" t="n"/>
      <c r="F487" s="2" t="n"/>
      <c r="I487" s="2" t="n"/>
    </row>
    <row r="488" ht="15.75" customHeight="1" s="38">
      <c r="A488" s="2" t="n"/>
      <c r="B488" s="2" t="n"/>
      <c r="C488" s="2" t="n"/>
      <c r="D488" s="2" t="n"/>
      <c r="E488" s="2" t="n"/>
      <c r="F488" s="2" t="n"/>
      <c r="I488" s="2" t="n"/>
    </row>
    <row r="489" ht="15.75" customHeight="1" s="38">
      <c r="A489" s="2" t="n"/>
      <c r="B489" s="2" t="n"/>
      <c r="C489" s="2" t="n"/>
      <c r="D489" s="2" t="n"/>
      <c r="E489" s="2" t="n"/>
      <c r="F489" s="2" t="n"/>
      <c r="I489" s="2" t="n"/>
    </row>
    <row r="490" ht="15.75" customHeight="1" s="38">
      <c r="A490" s="2" t="n"/>
      <c r="B490" s="2" t="n"/>
      <c r="C490" s="2" t="n"/>
      <c r="D490" s="2" t="n"/>
      <c r="E490" s="2" t="n"/>
      <c r="F490" s="2" t="n"/>
      <c r="I490" s="2" t="n"/>
    </row>
    <row r="491" ht="15.75" customHeight="1" s="38">
      <c r="A491" s="2" t="n"/>
      <c r="B491" s="2" t="n"/>
      <c r="C491" s="2" t="n"/>
      <c r="D491" s="2" t="n"/>
      <c r="E491" s="2" t="n"/>
      <c r="F491" s="2" t="n"/>
      <c r="I491" s="2" t="n"/>
    </row>
    <row r="492" ht="15.75" customHeight="1" s="38">
      <c r="A492" s="2" t="n"/>
      <c r="B492" s="2" t="n"/>
      <c r="C492" s="2" t="n"/>
      <c r="D492" s="2" t="n"/>
      <c r="E492" s="2" t="n"/>
      <c r="F492" s="2" t="n"/>
      <c r="I492" s="2" t="n"/>
    </row>
    <row r="493" ht="15.75" customHeight="1" s="38">
      <c r="A493" s="2" t="n"/>
      <c r="B493" s="2" t="n"/>
      <c r="C493" s="2" t="n"/>
      <c r="D493" s="2" t="n"/>
      <c r="E493" s="2" t="n"/>
      <c r="F493" s="2" t="n"/>
      <c r="I493" s="2" t="n"/>
    </row>
    <row r="494" ht="15.75" customHeight="1" s="38">
      <c r="A494" s="2" t="n"/>
      <c r="B494" s="2" t="n"/>
      <c r="C494" s="2" t="n"/>
      <c r="D494" s="2" t="n"/>
      <c r="E494" s="2" t="n"/>
      <c r="F494" s="2" t="n"/>
      <c r="I494" s="2" t="n"/>
    </row>
    <row r="495" ht="15.75" customHeight="1" s="38">
      <c r="A495" s="2" t="n"/>
      <c r="B495" s="2" t="n"/>
      <c r="C495" s="2" t="n"/>
      <c r="D495" s="2" t="n"/>
      <c r="E495" s="2" t="n"/>
      <c r="F495" s="2" t="n"/>
      <c r="I495" s="2" t="n"/>
    </row>
    <row r="496" ht="15.75" customHeight="1" s="38">
      <c r="A496" s="2" t="n"/>
      <c r="B496" s="2" t="n"/>
      <c r="C496" s="2" t="n"/>
      <c r="D496" s="2" t="n"/>
      <c r="E496" s="2" t="n"/>
      <c r="F496" s="2" t="n"/>
      <c r="I496" s="2" t="n"/>
    </row>
    <row r="497" ht="15.75" customHeight="1" s="38">
      <c r="A497" s="2" t="n"/>
      <c r="B497" s="2" t="n"/>
      <c r="C497" s="2" t="n"/>
      <c r="D497" s="2" t="n"/>
      <c r="E497" s="2" t="n"/>
      <c r="F497" s="2" t="n"/>
      <c r="I497" s="2" t="n"/>
    </row>
    <row r="498" ht="15.75" customHeight="1" s="38">
      <c r="A498" s="2" t="n"/>
      <c r="B498" s="2" t="n"/>
      <c r="C498" s="2" t="n"/>
      <c r="D498" s="2" t="n"/>
      <c r="E498" s="2" t="n"/>
      <c r="F498" s="2" t="n"/>
      <c r="I498" s="2" t="n"/>
    </row>
    <row r="499" ht="15.75" customHeight="1" s="38">
      <c r="A499" s="2" t="n"/>
      <c r="B499" s="2" t="n"/>
      <c r="C499" s="2" t="n"/>
      <c r="D499" s="2" t="n"/>
      <c r="E499" s="2" t="n"/>
      <c r="F499" s="2" t="n"/>
      <c r="I499" s="2" t="n"/>
    </row>
    <row r="500" ht="15.75" customHeight="1" s="38">
      <c r="A500" s="2" t="n"/>
      <c r="B500" s="2" t="n"/>
      <c r="C500" s="2" t="n"/>
      <c r="D500" s="2" t="n"/>
      <c r="E500" s="2" t="n"/>
      <c r="F500" s="2" t="n"/>
      <c r="I500" s="2" t="n"/>
    </row>
    <row r="501" ht="15.75" customHeight="1" s="38">
      <c r="A501" s="2" t="n"/>
      <c r="B501" s="2" t="n"/>
      <c r="C501" s="2" t="n"/>
      <c r="D501" s="2" t="n"/>
      <c r="E501" s="2" t="n"/>
      <c r="F501" s="2" t="n"/>
      <c r="I501" s="2" t="n"/>
    </row>
    <row r="502" ht="15.75" customHeight="1" s="38">
      <c r="A502" s="2" t="n"/>
      <c r="B502" s="2" t="n"/>
      <c r="C502" s="2" t="n"/>
      <c r="D502" s="2" t="n"/>
      <c r="E502" s="2" t="n"/>
      <c r="F502" s="2" t="n"/>
      <c r="I502" s="2" t="n"/>
    </row>
    <row r="503" ht="15.75" customHeight="1" s="38">
      <c r="A503" s="2" t="n"/>
      <c r="B503" s="2" t="n"/>
      <c r="C503" s="2" t="n"/>
      <c r="D503" s="2" t="n"/>
      <c r="E503" s="2" t="n"/>
      <c r="F503" s="2" t="n"/>
      <c r="I503" s="2" t="n"/>
    </row>
    <row r="504" ht="15.75" customHeight="1" s="38">
      <c r="A504" s="2" t="n"/>
      <c r="B504" s="2" t="n"/>
      <c r="C504" s="2" t="n"/>
      <c r="D504" s="2" t="n"/>
      <c r="E504" s="2" t="n"/>
      <c r="F504" s="2" t="n"/>
      <c r="I504" s="2" t="n"/>
    </row>
    <row r="505" ht="15.75" customHeight="1" s="38">
      <c r="A505" s="2" t="n"/>
      <c r="B505" s="2" t="n"/>
      <c r="C505" s="2" t="n"/>
      <c r="D505" s="2" t="n"/>
      <c r="E505" s="2" t="n"/>
      <c r="F505" s="2" t="n"/>
      <c r="I505" s="2" t="n"/>
    </row>
    <row r="506" ht="15.75" customHeight="1" s="38">
      <c r="A506" s="2" t="n"/>
      <c r="B506" s="2" t="n"/>
      <c r="C506" s="2" t="n"/>
      <c r="D506" s="2" t="n"/>
      <c r="E506" s="2" t="n"/>
      <c r="F506" s="2" t="n"/>
      <c r="I506" s="2" t="n"/>
    </row>
    <row r="507" ht="15.75" customHeight="1" s="38">
      <c r="A507" s="2" t="n"/>
      <c r="B507" s="2" t="n"/>
      <c r="C507" s="2" t="n"/>
      <c r="D507" s="2" t="n"/>
      <c r="E507" s="2" t="n"/>
      <c r="F507" s="2" t="n"/>
      <c r="I507" s="2" t="n"/>
    </row>
    <row r="508" ht="15.75" customHeight="1" s="38">
      <c r="A508" s="2" t="n"/>
      <c r="B508" s="2" t="n"/>
      <c r="C508" s="2" t="n"/>
      <c r="D508" s="2" t="n"/>
      <c r="E508" s="2" t="n"/>
      <c r="F508" s="2" t="n"/>
      <c r="I508" s="2" t="n"/>
    </row>
    <row r="509" ht="15.75" customHeight="1" s="38">
      <c r="A509" s="2" t="n"/>
      <c r="B509" s="2" t="n"/>
      <c r="C509" s="2" t="n"/>
      <c r="D509" s="2" t="n"/>
      <c r="E509" s="2" t="n"/>
      <c r="F509" s="2" t="n"/>
      <c r="I509" s="2" t="n"/>
    </row>
    <row r="510" ht="15.75" customHeight="1" s="38">
      <c r="A510" s="2" t="n"/>
      <c r="B510" s="2" t="n"/>
      <c r="C510" s="2" t="n"/>
      <c r="D510" s="2" t="n"/>
      <c r="E510" s="2" t="n"/>
      <c r="F510" s="2" t="n"/>
      <c r="I510" s="2" t="n"/>
    </row>
    <row r="511" ht="15.75" customHeight="1" s="38">
      <c r="A511" s="2" t="n"/>
      <c r="B511" s="2" t="n"/>
      <c r="C511" s="2" t="n"/>
      <c r="D511" s="2" t="n"/>
      <c r="E511" s="2" t="n"/>
      <c r="F511" s="2" t="n"/>
      <c r="I511" s="2" t="n"/>
    </row>
    <row r="512" ht="15.75" customHeight="1" s="38">
      <c r="A512" s="2" t="n"/>
      <c r="B512" s="2" t="n"/>
      <c r="C512" s="2" t="n"/>
      <c r="D512" s="2" t="n"/>
      <c r="E512" s="2" t="n"/>
      <c r="F512" s="2" t="n"/>
      <c r="I512" s="2" t="n"/>
    </row>
    <row r="513" ht="15.75" customHeight="1" s="38">
      <c r="A513" s="2" t="n"/>
      <c r="B513" s="2" t="n"/>
      <c r="C513" s="2" t="n"/>
      <c r="D513" s="2" t="n"/>
      <c r="E513" s="2" t="n"/>
      <c r="F513" s="2" t="n"/>
      <c r="I513" s="2" t="n"/>
    </row>
    <row r="514" ht="15.75" customHeight="1" s="38">
      <c r="A514" s="2" t="n"/>
      <c r="B514" s="2" t="n"/>
      <c r="C514" s="2" t="n"/>
      <c r="D514" s="2" t="n"/>
      <c r="E514" s="2" t="n"/>
      <c r="F514" s="2" t="n"/>
      <c r="I514" s="2" t="n"/>
    </row>
    <row r="515" ht="15.75" customHeight="1" s="38">
      <c r="A515" s="2" t="n"/>
      <c r="B515" s="2" t="n"/>
      <c r="C515" s="2" t="n"/>
      <c r="D515" s="2" t="n"/>
      <c r="E515" s="2" t="n"/>
      <c r="F515" s="2" t="n"/>
      <c r="I515" s="2" t="n"/>
    </row>
    <row r="516" ht="15.75" customHeight="1" s="38">
      <c r="A516" s="2" t="n"/>
      <c r="B516" s="2" t="n"/>
      <c r="C516" s="2" t="n"/>
      <c r="D516" s="2" t="n"/>
      <c r="E516" s="2" t="n"/>
      <c r="F516" s="2" t="n"/>
      <c r="I516" s="2" t="n"/>
    </row>
    <row r="517" ht="15.75" customHeight="1" s="38">
      <c r="A517" s="2" t="n"/>
      <c r="B517" s="2" t="n"/>
      <c r="C517" s="2" t="n"/>
      <c r="D517" s="2" t="n"/>
      <c r="E517" s="2" t="n"/>
      <c r="F517" s="2" t="n"/>
      <c r="I517" s="2" t="n"/>
    </row>
    <row r="518" ht="15.75" customHeight="1" s="38">
      <c r="A518" s="2" t="n"/>
      <c r="B518" s="2" t="n"/>
      <c r="C518" s="2" t="n"/>
      <c r="D518" s="2" t="n"/>
      <c r="E518" s="2" t="n"/>
      <c r="F518" s="2" t="n"/>
      <c r="I518" s="2" t="n"/>
    </row>
    <row r="519" ht="15.75" customHeight="1" s="38">
      <c r="A519" s="2" t="n"/>
      <c r="B519" s="2" t="n"/>
      <c r="C519" s="2" t="n"/>
      <c r="D519" s="2" t="n"/>
      <c r="E519" s="2" t="n"/>
      <c r="F519" s="2" t="n"/>
      <c r="I519" s="2" t="n"/>
    </row>
    <row r="520" ht="15.75" customHeight="1" s="38">
      <c r="A520" s="2" t="n"/>
      <c r="B520" s="2" t="n"/>
      <c r="C520" s="2" t="n"/>
      <c r="D520" s="2" t="n"/>
      <c r="E520" s="2" t="n"/>
      <c r="F520" s="2" t="n"/>
      <c r="I520" s="2" t="n"/>
    </row>
    <row r="521" ht="15.75" customHeight="1" s="38">
      <c r="A521" s="2" t="n"/>
      <c r="B521" s="2" t="n"/>
      <c r="C521" s="2" t="n"/>
      <c r="D521" s="2" t="n"/>
      <c r="E521" s="2" t="n"/>
      <c r="F521" s="2" t="n"/>
      <c r="I521" s="2" t="n"/>
    </row>
    <row r="522" ht="15.75" customHeight="1" s="38">
      <c r="A522" s="2" t="n"/>
      <c r="B522" s="2" t="n"/>
      <c r="C522" s="2" t="n"/>
      <c r="D522" s="2" t="n"/>
      <c r="E522" s="2" t="n"/>
      <c r="F522" s="2" t="n"/>
      <c r="I522" s="2" t="n"/>
    </row>
    <row r="523" ht="15.75" customHeight="1" s="38">
      <c r="A523" s="2" t="n"/>
      <c r="B523" s="2" t="n"/>
      <c r="C523" s="2" t="n"/>
      <c r="D523" s="2" t="n"/>
      <c r="E523" s="2" t="n"/>
      <c r="F523" s="2" t="n"/>
      <c r="I523" s="2" t="n"/>
    </row>
    <row r="524" ht="15.75" customHeight="1" s="38">
      <c r="A524" s="2" t="n"/>
      <c r="B524" s="2" t="n"/>
      <c r="C524" s="2" t="n"/>
      <c r="D524" s="2" t="n"/>
      <c r="E524" s="2" t="n"/>
      <c r="F524" s="2" t="n"/>
      <c r="I524" s="2" t="n"/>
    </row>
    <row r="525" ht="15.75" customHeight="1" s="38">
      <c r="A525" s="2" t="n"/>
      <c r="B525" s="2" t="n"/>
      <c r="C525" s="2" t="n"/>
      <c r="D525" s="2" t="n"/>
      <c r="E525" s="2" t="n"/>
      <c r="F525" s="2" t="n"/>
      <c r="I525" s="2" t="n"/>
    </row>
    <row r="526" ht="15.75" customHeight="1" s="38">
      <c r="A526" s="2" t="n"/>
      <c r="B526" s="2" t="n"/>
      <c r="C526" s="2" t="n"/>
      <c r="D526" s="2" t="n"/>
      <c r="E526" s="2" t="n"/>
      <c r="F526" s="2" t="n"/>
      <c r="I526" s="2" t="n"/>
    </row>
    <row r="527" ht="15.75" customHeight="1" s="38">
      <c r="A527" s="2" t="n"/>
      <c r="B527" s="2" t="n"/>
      <c r="C527" s="2" t="n"/>
      <c r="D527" s="2" t="n"/>
      <c r="E527" s="2" t="n"/>
      <c r="F527" s="2" t="n"/>
      <c r="I527" s="2" t="n"/>
    </row>
    <row r="528" ht="15.75" customHeight="1" s="38">
      <c r="A528" s="2" t="n"/>
      <c r="B528" s="2" t="n"/>
      <c r="C528" s="2" t="n"/>
      <c r="D528" s="2" t="n"/>
      <c r="E528" s="2" t="n"/>
      <c r="F528" s="2" t="n"/>
      <c r="I528" s="2" t="n"/>
    </row>
    <row r="529" ht="15.75" customHeight="1" s="38">
      <c r="A529" s="2" t="n"/>
      <c r="B529" s="2" t="n"/>
      <c r="C529" s="2" t="n"/>
      <c r="D529" s="2" t="n"/>
      <c r="E529" s="2" t="n"/>
      <c r="F529" s="2" t="n"/>
      <c r="I529" s="2" t="n"/>
    </row>
    <row r="530" ht="15.75" customHeight="1" s="38">
      <c r="A530" s="2" t="n"/>
      <c r="B530" s="2" t="n"/>
      <c r="C530" s="2" t="n"/>
      <c r="D530" s="2" t="n"/>
      <c r="E530" s="2" t="n"/>
      <c r="F530" s="2" t="n"/>
      <c r="I530" s="2" t="n"/>
    </row>
    <row r="531" ht="15.75" customHeight="1" s="38">
      <c r="A531" s="2" t="n"/>
      <c r="B531" s="2" t="n"/>
      <c r="C531" s="2" t="n"/>
      <c r="D531" s="2" t="n"/>
      <c r="E531" s="2" t="n"/>
      <c r="F531" s="2" t="n"/>
      <c r="I531" s="2" t="n"/>
    </row>
    <row r="532" ht="15.75" customHeight="1" s="38">
      <c r="A532" s="2" t="n"/>
      <c r="B532" s="2" t="n"/>
      <c r="C532" s="2" t="n"/>
      <c r="D532" s="2" t="n"/>
      <c r="E532" s="2" t="n"/>
      <c r="F532" s="2" t="n"/>
      <c r="I532" s="2" t="n"/>
    </row>
    <row r="533" ht="15.75" customHeight="1" s="38">
      <c r="A533" s="2" t="n"/>
      <c r="B533" s="2" t="n"/>
      <c r="C533" s="2" t="n"/>
      <c r="D533" s="2" t="n"/>
      <c r="E533" s="2" t="n"/>
      <c r="F533" s="2" t="n"/>
      <c r="I533" s="2" t="n"/>
    </row>
    <row r="534" ht="15.75" customHeight="1" s="38">
      <c r="A534" s="2" t="n"/>
      <c r="B534" s="2" t="n"/>
      <c r="C534" s="2" t="n"/>
      <c r="D534" s="2" t="n"/>
      <c r="E534" s="2" t="n"/>
      <c r="F534" s="2" t="n"/>
      <c r="I534" s="2" t="n"/>
    </row>
    <row r="535" ht="15.75" customHeight="1" s="38">
      <c r="A535" s="2" t="n"/>
      <c r="B535" s="2" t="n"/>
      <c r="C535" s="2" t="n"/>
      <c r="D535" s="2" t="n"/>
      <c r="E535" s="2" t="n"/>
      <c r="F535" s="2" t="n"/>
      <c r="I535" s="2" t="n"/>
    </row>
    <row r="536" ht="15.75" customHeight="1" s="38">
      <c r="A536" s="2" t="n"/>
      <c r="B536" s="2" t="n"/>
      <c r="C536" s="2" t="n"/>
      <c r="D536" s="2" t="n"/>
      <c r="E536" s="2" t="n"/>
      <c r="F536" s="2" t="n"/>
      <c r="I536" s="2" t="n"/>
    </row>
    <row r="537" ht="15.75" customHeight="1" s="38">
      <c r="A537" s="2" t="n"/>
      <c r="B537" s="2" t="n"/>
      <c r="C537" s="2" t="n"/>
      <c r="D537" s="2" t="n"/>
      <c r="E537" s="2" t="n"/>
      <c r="F537" s="2" t="n"/>
      <c r="I537" s="2" t="n"/>
    </row>
    <row r="538" ht="15.75" customHeight="1" s="38">
      <c r="A538" s="2" t="n"/>
      <c r="B538" s="2" t="n"/>
      <c r="C538" s="2" t="n"/>
      <c r="D538" s="2" t="n"/>
      <c r="E538" s="2" t="n"/>
      <c r="F538" s="2" t="n"/>
      <c r="I538" s="2" t="n"/>
    </row>
    <row r="539" ht="15.75" customHeight="1" s="38">
      <c r="A539" s="2" t="n"/>
      <c r="B539" s="2" t="n"/>
      <c r="C539" s="2" t="n"/>
      <c r="D539" s="2" t="n"/>
      <c r="E539" s="2" t="n"/>
      <c r="F539" s="2" t="n"/>
      <c r="I539" s="2" t="n"/>
    </row>
    <row r="540" ht="15.75" customHeight="1" s="38">
      <c r="A540" s="2" t="n"/>
      <c r="B540" s="2" t="n"/>
      <c r="C540" s="2" t="n"/>
      <c r="D540" s="2" t="n"/>
      <c r="E540" s="2" t="n"/>
      <c r="F540" s="2" t="n"/>
      <c r="I540" s="2" t="n"/>
    </row>
    <row r="541" ht="15.75" customHeight="1" s="38">
      <c r="A541" s="2" t="n"/>
      <c r="B541" s="2" t="n"/>
      <c r="C541" s="2" t="n"/>
      <c r="D541" s="2" t="n"/>
      <c r="E541" s="2" t="n"/>
      <c r="F541" s="2" t="n"/>
      <c r="I541" s="2" t="n"/>
    </row>
    <row r="542" ht="15.75" customHeight="1" s="38">
      <c r="A542" s="2" t="n"/>
      <c r="B542" s="2" t="n"/>
      <c r="C542" s="2" t="n"/>
      <c r="D542" s="2" t="n"/>
      <c r="E542" s="2" t="n"/>
      <c r="F542" s="2" t="n"/>
      <c r="I542" s="2" t="n"/>
    </row>
    <row r="543" ht="15.75" customHeight="1" s="38">
      <c r="A543" s="2" t="n"/>
      <c r="B543" s="2" t="n"/>
      <c r="C543" s="2" t="n"/>
      <c r="D543" s="2" t="n"/>
      <c r="E543" s="2" t="n"/>
      <c r="F543" s="2" t="n"/>
      <c r="I543" s="2" t="n"/>
    </row>
    <row r="544" ht="15.75" customHeight="1" s="38">
      <c r="A544" s="2" t="n"/>
      <c r="B544" s="2" t="n"/>
      <c r="C544" s="2" t="n"/>
      <c r="D544" s="2" t="n"/>
      <c r="E544" s="2" t="n"/>
      <c r="F544" s="2" t="n"/>
      <c r="I544" s="2" t="n"/>
    </row>
    <row r="545" ht="15.75" customHeight="1" s="38">
      <c r="A545" s="2" t="n"/>
      <c r="B545" s="2" t="n"/>
      <c r="C545" s="2" t="n"/>
      <c r="D545" s="2" t="n"/>
      <c r="E545" s="2" t="n"/>
      <c r="F545" s="2" t="n"/>
      <c r="I545" s="2" t="n"/>
    </row>
    <row r="546" ht="15.75" customHeight="1" s="38">
      <c r="A546" s="2" t="n"/>
      <c r="B546" s="2" t="n"/>
      <c r="C546" s="2" t="n"/>
      <c r="D546" s="2" t="n"/>
      <c r="E546" s="2" t="n"/>
      <c r="F546" s="2" t="n"/>
      <c r="I546" s="2" t="n"/>
    </row>
    <row r="547" ht="15.75" customHeight="1" s="38">
      <c r="A547" s="2" t="n"/>
      <c r="B547" s="2" t="n"/>
      <c r="C547" s="2" t="n"/>
      <c r="D547" s="2" t="n"/>
      <c r="E547" s="2" t="n"/>
      <c r="F547" s="2" t="n"/>
      <c r="I547" s="2" t="n"/>
    </row>
    <row r="548" ht="15.75" customHeight="1" s="38">
      <c r="A548" s="2" t="n"/>
      <c r="B548" s="2" t="n"/>
      <c r="C548" s="2" t="n"/>
      <c r="D548" s="2" t="n"/>
      <c r="E548" s="2" t="n"/>
      <c r="F548" s="2" t="n"/>
      <c r="I548" s="2" t="n"/>
    </row>
    <row r="549" ht="15.75" customHeight="1" s="38">
      <c r="A549" s="2" t="n"/>
      <c r="B549" s="2" t="n"/>
      <c r="C549" s="2" t="n"/>
      <c r="D549" s="2" t="n"/>
      <c r="E549" s="2" t="n"/>
      <c r="F549" s="2" t="n"/>
      <c r="I549" s="2" t="n"/>
    </row>
    <row r="550" ht="15.75" customHeight="1" s="38">
      <c r="A550" s="2" t="n"/>
      <c r="B550" s="2" t="n"/>
      <c r="C550" s="2" t="n"/>
      <c r="D550" s="2" t="n"/>
      <c r="E550" s="2" t="n"/>
      <c r="F550" s="2" t="n"/>
      <c r="I550" s="2" t="n"/>
    </row>
    <row r="551" ht="15.75" customHeight="1" s="38">
      <c r="A551" s="2" t="n"/>
      <c r="B551" s="2" t="n"/>
      <c r="C551" s="2" t="n"/>
      <c r="D551" s="2" t="n"/>
      <c r="E551" s="2" t="n"/>
      <c r="F551" s="2" t="n"/>
      <c r="I551" s="2" t="n"/>
    </row>
    <row r="552" ht="15.75" customHeight="1" s="38">
      <c r="A552" s="2" t="n"/>
      <c r="B552" s="2" t="n"/>
      <c r="C552" s="2" t="n"/>
      <c r="D552" s="2" t="n"/>
      <c r="E552" s="2" t="n"/>
      <c r="F552" s="2" t="n"/>
      <c r="I552" s="2" t="n"/>
    </row>
    <row r="553" ht="15.75" customHeight="1" s="38">
      <c r="A553" s="2" t="n"/>
      <c r="B553" s="2" t="n"/>
      <c r="C553" s="2" t="n"/>
      <c r="D553" s="2" t="n"/>
      <c r="E553" s="2" t="n"/>
      <c r="F553" s="2" t="n"/>
      <c r="I553" s="2" t="n"/>
    </row>
    <row r="554" ht="15.75" customHeight="1" s="38">
      <c r="A554" s="2" t="n"/>
      <c r="B554" s="2" t="n"/>
      <c r="C554" s="2" t="n"/>
      <c r="D554" s="2" t="n"/>
      <c r="E554" s="2" t="n"/>
      <c r="F554" s="2" t="n"/>
      <c r="I554" s="2" t="n"/>
    </row>
    <row r="555" ht="15.75" customHeight="1" s="38">
      <c r="A555" s="2" t="n"/>
      <c r="B555" s="2" t="n"/>
      <c r="C555" s="2" t="n"/>
      <c r="D555" s="2" t="n"/>
      <c r="E555" s="2" t="n"/>
      <c r="F555" s="2" t="n"/>
      <c r="I555" s="2" t="n"/>
    </row>
    <row r="556" ht="15.75" customHeight="1" s="38">
      <c r="A556" s="2" t="n"/>
      <c r="B556" s="2" t="n"/>
      <c r="C556" s="2" t="n"/>
      <c r="D556" s="2" t="n"/>
      <c r="E556" s="2" t="n"/>
      <c r="F556" s="2" t="n"/>
      <c r="I556" s="2" t="n"/>
    </row>
    <row r="557" ht="15.75" customHeight="1" s="38">
      <c r="A557" s="2" t="n"/>
      <c r="B557" s="2" t="n"/>
      <c r="C557" s="2" t="n"/>
      <c r="D557" s="2" t="n"/>
      <c r="E557" s="2" t="n"/>
      <c r="F557" s="2" t="n"/>
      <c r="I557" s="2" t="n"/>
    </row>
    <row r="558" ht="15.75" customHeight="1" s="38">
      <c r="A558" s="2" t="n"/>
      <c r="B558" s="2" t="n"/>
      <c r="C558" s="2" t="n"/>
      <c r="D558" s="2" t="n"/>
      <c r="E558" s="2" t="n"/>
      <c r="F558" s="2" t="n"/>
      <c r="I558" s="2" t="n"/>
    </row>
    <row r="559" ht="15.75" customHeight="1" s="38">
      <c r="A559" s="2" t="n"/>
      <c r="B559" s="2" t="n"/>
      <c r="C559" s="2" t="n"/>
      <c r="D559" s="2" t="n"/>
      <c r="E559" s="2" t="n"/>
      <c r="F559" s="2" t="n"/>
      <c r="I559" s="2" t="n"/>
    </row>
    <row r="560" ht="15.75" customHeight="1" s="38">
      <c r="A560" s="2" t="n"/>
      <c r="B560" s="2" t="n"/>
      <c r="C560" s="2" t="n"/>
      <c r="D560" s="2" t="n"/>
      <c r="E560" s="2" t="n"/>
      <c r="F560" s="2" t="n"/>
      <c r="I560" s="2" t="n"/>
    </row>
    <row r="561" ht="15.75" customHeight="1" s="38">
      <c r="A561" s="2" t="n"/>
      <c r="B561" s="2" t="n"/>
      <c r="C561" s="2" t="n"/>
      <c r="D561" s="2" t="n"/>
      <c r="E561" s="2" t="n"/>
      <c r="F561" s="2" t="n"/>
      <c r="I561" s="2" t="n"/>
    </row>
    <row r="562" ht="15.75" customHeight="1" s="38">
      <c r="A562" s="2" t="n"/>
      <c r="B562" s="2" t="n"/>
      <c r="C562" s="2" t="n"/>
      <c r="D562" s="2" t="n"/>
      <c r="E562" s="2" t="n"/>
      <c r="F562" s="2" t="n"/>
      <c r="I562" s="2" t="n"/>
    </row>
    <row r="563" ht="15.75" customHeight="1" s="38">
      <c r="A563" s="2" t="n"/>
      <c r="B563" s="2" t="n"/>
      <c r="C563" s="2" t="n"/>
      <c r="D563" s="2" t="n"/>
      <c r="E563" s="2" t="n"/>
      <c r="F563" s="2" t="n"/>
      <c r="I563" s="2" t="n"/>
    </row>
    <row r="564" ht="15.75" customHeight="1" s="38">
      <c r="A564" s="2" t="n"/>
      <c r="B564" s="2" t="n"/>
      <c r="C564" s="2" t="n"/>
      <c r="D564" s="2" t="n"/>
      <c r="E564" s="2" t="n"/>
      <c r="F564" s="2" t="n"/>
      <c r="I564" s="2" t="n"/>
    </row>
    <row r="565" ht="15.75" customHeight="1" s="38">
      <c r="A565" s="2" t="n"/>
      <c r="B565" s="2" t="n"/>
      <c r="C565" s="2" t="n"/>
      <c r="D565" s="2" t="n"/>
      <c r="E565" s="2" t="n"/>
      <c r="F565" s="2" t="n"/>
      <c r="I565" s="2" t="n"/>
    </row>
    <row r="566" ht="15.75" customHeight="1" s="38">
      <c r="A566" s="2" t="n"/>
      <c r="B566" s="2" t="n"/>
      <c r="C566" s="2" t="n"/>
      <c r="D566" s="2" t="n"/>
      <c r="E566" s="2" t="n"/>
      <c r="F566" s="2" t="n"/>
      <c r="I566" s="2" t="n"/>
    </row>
    <row r="567" ht="15.75" customHeight="1" s="38">
      <c r="A567" s="2" t="n"/>
      <c r="B567" s="2" t="n"/>
      <c r="C567" s="2" t="n"/>
      <c r="D567" s="2" t="n"/>
      <c r="E567" s="2" t="n"/>
      <c r="F567" s="2" t="n"/>
      <c r="I567" s="2" t="n"/>
    </row>
    <row r="568" ht="15.75" customHeight="1" s="38">
      <c r="A568" s="2" t="n"/>
      <c r="B568" s="2" t="n"/>
      <c r="C568" s="2" t="n"/>
      <c r="D568" s="2" t="n"/>
      <c r="E568" s="2" t="n"/>
      <c r="F568" s="2" t="n"/>
      <c r="I568" s="2" t="n"/>
    </row>
    <row r="569" ht="15.75" customHeight="1" s="38">
      <c r="A569" s="2" t="n"/>
      <c r="B569" s="2" t="n"/>
      <c r="C569" s="2" t="n"/>
      <c r="D569" s="2" t="n"/>
      <c r="E569" s="2" t="n"/>
      <c r="F569" s="2" t="n"/>
      <c r="I569" s="2" t="n"/>
    </row>
    <row r="570" ht="15.75" customHeight="1" s="38">
      <c r="A570" s="2" t="n"/>
      <c r="B570" s="2" t="n"/>
      <c r="C570" s="2" t="n"/>
      <c r="D570" s="2" t="n"/>
      <c r="E570" s="2" t="n"/>
      <c r="F570" s="2" t="n"/>
      <c r="I570" s="2" t="n"/>
    </row>
    <row r="571" ht="15.75" customHeight="1" s="38">
      <c r="A571" s="2" t="n"/>
      <c r="B571" s="2" t="n"/>
      <c r="C571" s="2" t="n"/>
      <c r="D571" s="2" t="n"/>
      <c r="E571" s="2" t="n"/>
      <c r="F571" s="2" t="n"/>
      <c r="I571" s="2" t="n"/>
    </row>
    <row r="572" ht="15.75" customHeight="1" s="38">
      <c r="A572" s="2" t="n"/>
      <c r="B572" s="2" t="n"/>
      <c r="C572" s="2" t="n"/>
      <c r="D572" s="2" t="n"/>
      <c r="E572" s="2" t="n"/>
      <c r="F572" s="2" t="n"/>
      <c r="I572" s="2" t="n"/>
    </row>
    <row r="573" ht="15.75" customHeight="1" s="38">
      <c r="A573" s="2" t="n"/>
      <c r="B573" s="2" t="n"/>
      <c r="C573" s="2" t="n"/>
      <c r="D573" s="2" t="n"/>
      <c r="E573" s="2" t="n"/>
      <c r="F573" s="2" t="n"/>
      <c r="I573" s="2" t="n"/>
    </row>
    <row r="574" ht="15.75" customHeight="1" s="38">
      <c r="A574" s="2" t="n"/>
      <c r="B574" s="2" t="n"/>
      <c r="C574" s="2" t="n"/>
      <c r="D574" s="2" t="n"/>
      <c r="E574" s="2" t="n"/>
      <c r="F574" s="2" t="n"/>
      <c r="I574" s="2" t="n"/>
    </row>
    <row r="575" ht="15.75" customHeight="1" s="38">
      <c r="A575" s="2" t="n"/>
      <c r="B575" s="2" t="n"/>
      <c r="C575" s="2" t="n"/>
      <c r="D575" s="2" t="n"/>
      <c r="E575" s="2" t="n"/>
      <c r="F575" s="2" t="n"/>
      <c r="I575" s="2" t="n"/>
    </row>
    <row r="576" ht="15.75" customHeight="1" s="38">
      <c r="A576" s="2" t="n"/>
      <c r="B576" s="2" t="n"/>
      <c r="C576" s="2" t="n"/>
      <c r="D576" s="2" t="n"/>
      <c r="E576" s="2" t="n"/>
      <c r="F576" s="2" t="n"/>
      <c r="I576" s="2" t="n"/>
    </row>
    <row r="577" ht="15.75" customHeight="1" s="38">
      <c r="A577" s="2" t="n"/>
      <c r="B577" s="2" t="n"/>
      <c r="C577" s="2" t="n"/>
      <c r="D577" s="2" t="n"/>
      <c r="E577" s="2" t="n"/>
      <c r="F577" s="2" t="n"/>
      <c r="I577" s="2" t="n"/>
    </row>
    <row r="578" ht="15.75" customHeight="1" s="38">
      <c r="A578" s="2" t="n"/>
      <c r="B578" s="2" t="n"/>
      <c r="C578" s="2" t="n"/>
      <c r="D578" s="2" t="n"/>
      <c r="E578" s="2" t="n"/>
      <c r="F578" s="2" t="n"/>
      <c r="I578" s="2" t="n"/>
    </row>
    <row r="579" ht="15.75" customHeight="1" s="38">
      <c r="A579" s="2" t="n"/>
      <c r="B579" s="2" t="n"/>
      <c r="C579" s="2" t="n"/>
      <c r="D579" s="2" t="n"/>
      <c r="E579" s="2" t="n"/>
      <c r="F579" s="2" t="n"/>
      <c r="I579" s="2" t="n"/>
    </row>
    <row r="580" ht="15.75" customHeight="1" s="38">
      <c r="A580" s="2" t="n"/>
      <c r="B580" s="2" t="n"/>
      <c r="C580" s="2" t="n"/>
      <c r="D580" s="2" t="n"/>
      <c r="E580" s="2" t="n"/>
      <c r="F580" s="2" t="n"/>
      <c r="I580" s="2" t="n"/>
    </row>
    <row r="581" ht="15.75" customHeight="1" s="38">
      <c r="A581" s="2" t="n"/>
      <c r="B581" s="2" t="n"/>
      <c r="C581" s="2" t="n"/>
      <c r="D581" s="2" t="n"/>
      <c r="E581" s="2" t="n"/>
      <c r="F581" s="2" t="n"/>
      <c r="I581" s="2" t="n"/>
    </row>
    <row r="582" ht="15.75" customHeight="1" s="38">
      <c r="A582" s="2" t="n"/>
      <c r="B582" s="2" t="n"/>
      <c r="C582" s="2" t="n"/>
      <c r="D582" s="2" t="n"/>
      <c r="E582" s="2" t="n"/>
      <c r="F582" s="2" t="n"/>
      <c r="I582" s="2" t="n"/>
    </row>
    <row r="583" ht="15.75" customHeight="1" s="38">
      <c r="A583" s="2" t="n"/>
      <c r="B583" s="2" t="n"/>
      <c r="C583" s="2" t="n"/>
      <c r="D583" s="2" t="n"/>
      <c r="E583" s="2" t="n"/>
      <c r="F583" s="2" t="n"/>
      <c r="I583" s="2" t="n"/>
    </row>
    <row r="584" ht="15.75" customHeight="1" s="38">
      <c r="A584" s="2" t="n"/>
      <c r="B584" s="2" t="n"/>
      <c r="C584" s="2" t="n"/>
      <c r="D584" s="2" t="n"/>
      <c r="E584" s="2" t="n"/>
      <c r="F584" s="2" t="n"/>
      <c r="I584" s="2" t="n"/>
    </row>
    <row r="585" ht="15.75" customHeight="1" s="38">
      <c r="A585" s="2" t="n"/>
      <c r="B585" s="2" t="n"/>
      <c r="C585" s="2" t="n"/>
      <c r="D585" s="2" t="n"/>
      <c r="E585" s="2" t="n"/>
      <c r="F585" s="2" t="n"/>
      <c r="I585" s="2" t="n"/>
    </row>
    <row r="586" ht="15.75" customHeight="1" s="38">
      <c r="A586" s="2" t="n"/>
      <c r="B586" s="2" t="n"/>
      <c r="C586" s="2" t="n"/>
      <c r="D586" s="2" t="n"/>
      <c r="E586" s="2" t="n"/>
      <c r="F586" s="2" t="n"/>
      <c r="I586" s="2" t="n"/>
    </row>
    <row r="587" ht="15.75" customHeight="1" s="38">
      <c r="A587" s="2" t="n"/>
      <c r="B587" s="2" t="n"/>
      <c r="C587" s="2" t="n"/>
      <c r="D587" s="2" t="n"/>
      <c r="E587" s="2" t="n"/>
      <c r="F587" s="2" t="n"/>
      <c r="I587" s="2" t="n"/>
    </row>
    <row r="588" ht="15.75" customHeight="1" s="38">
      <c r="A588" s="2" t="n"/>
      <c r="B588" s="2" t="n"/>
      <c r="C588" s="2" t="n"/>
      <c r="D588" s="2" t="n"/>
      <c r="E588" s="2" t="n"/>
      <c r="F588" s="2" t="n"/>
      <c r="I588" s="2" t="n"/>
    </row>
    <row r="589" ht="15.75" customHeight="1" s="38">
      <c r="A589" s="2" t="n"/>
      <c r="B589" s="2" t="n"/>
      <c r="C589" s="2" t="n"/>
      <c r="D589" s="2" t="n"/>
      <c r="E589" s="2" t="n"/>
      <c r="F589" s="2" t="n"/>
      <c r="I589" s="2" t="n"/>
    </row>
    <row r="590" ht="15.75" customHeight="1" s="38">
      <c r="A590" s="2" t="n"/>
      <c r="B590" s="2" t="n"/>
      <c r="C590" s="2" t="n"/>
      <c r="D590" s="2" t="n"/>
      <c r="E590" s="2" t="n"/>
      <c r="F590" s="2" t="n"/>
      <c r="I590" s="2" t="n"/>
    </row>
    <row r="591" ht="15.75" customHeight="1" s="38">
      <c r="A591" s="2" t="n"/>
      <c r="B591" s="2" t="n"/>
      <c r="C591" s="2" t="n"/>
      <c r="D591" s="2" t="n"/>
      <c r="E591" s="2" t="n"/>
      <c r="F591" s="2" t="n"/>
      <c r="I591" s="2" t="n"/>
    </row>
    <row r="592" ht="15.75" customHeight="1" s="38">
      <c r="A592" s="2" t="n"/>
      <c r="B592" s="2" t="n"/>
      <c r="C592" s="2" t="n"/>
      <c r="D592" s="2" t="n"/>
      <c r="E592" s="2" t="n"/>
      <c r="F592" s="2" t="n"/>
      <c r="I592" s="2" t="n"/>
    </row>
    <row r="593" ht="15.75" customHeight="1" s="38">
      <c r="A593" s="2" t="n"/>
      <c r="B593" s="2" t="n"/>
      <c r="C593" s="2" t="n"/>
      <c r="D593" s="2" t="n"/>
      <c r="E593" s="2" t="n"/>
      <c r="F593" s="2" t="n"/>
      <c r="I593" s="2" t="n"/>
    </row>
    <row r="594" ht="15.75" customHeight="1" s="38">
      <c r="A594" s="2" t="n"/>
      <c r="B594" s="2" t="n"/>
      <c r="C594" s="2" t="n"/>
      <c r="D594" s="2" t="n"/>
      <c r="E594" s="2" t="n"/>
      <c r="F594" s="2" t="n"/>
      <c r="I594" s="2" t="n"/>
    </row>
    <row r="595" ht="15.75" customHeight="1" s="38">
      <c r="A595" s="2" t="n"/>
      <c r="B595" s="2" t="n"/>
      <c r="C595" s="2" t="n"/>
      <c r="D595" s="2" t="n"/>
      <c r="E595" s="2" t="n"/>
      <c r="F595" s="2" t="n"/>
      <c r="I595" s="2" t="n"/>
    </row>
    <row r="596" ht="15.75" customHeight="1" s="38">
      <c r="A596" s="2" t="n"/>
      <c r="B596" s="2" t="n"/>
      <c r="C596" s="2" t="n"/>
      <c r="D596" s="2" t="n"/>
      <c r="E596" s="2" t="n"/>
      <c r="F596" s="2" t="n"/>
      <c r="I596" s="2" t="n"/>
    </row>
    <row r="597" ht="15.75" customHeight="1" s="38">
      <c r="A597" s="2" t="n"/>
      <c r="B597" s="2" t="n"/>
      <c r="C597" s="2" t="n"/>
      <c r="D597" s="2" t="n"/>
      <c r="E597" s="2" t="n"/>
      <c r="F597" s="2" t="n"/>
      <c r="I597" s="2" t="n"/>
    </row>
    <row r="598" ht="15.75" customHeight="1" s="38">
      <c r="A598" s="2" t="n"/>
      <c r="B598" s="2" t="n"/>
      <c r="C598" s="2" t="n"/>
      <c r="D598" s="2" t="n"/>
      <c r="E598" s="2" t="n"/>
      <c r="F598" s="2" t="n"/>
      <c r="I598" s="2" t="n"/>
    </row>
    <row r="599" ht="15.75" customHeight="1" s="38">
      <c r="A599" s="2" t="n"/>
      <c r="B599" s="2" t="n"/>
      <c r="C599" s="2" t="n"/>
      <c r="D599" s="2" t="n"/>
      <c r="E599" s="2" t="n"/>
      <c r="F599" s="2" t="n"/>
      <c r="I599" s="2" t="n"/>
    </row>
    <row r="600" ht="15.75" customHeight="1" s="38">
      <c r="A600" s="2" t="n"/>
      <c r="B600" s="2" t="n"/>
      <c r="C600" s="2" t="n"/>
      <c r="D600" s="2" t="n"/>
      <c r="E600" s="2" t="n"/>
      <c r="F600" s="2" t="n"/>
      <c r="I600" s="2" t="n"/>
    </row>
    <row r="601" ht="15.75" customHeight="1" s="38">
      <c r="A601" s="2" t="n"/>
      <c r="B601" s="2" t="n"/>
      <c r="C601" s="2" t="n"/>
      <c r="D601" s="2" t="n"/>
      <c r="E601" s="2" t="n"/>
      <c r="F601" s="2" t="n"/>
      <c r="I601" s="2" t="n"/>
    </row>
    <row r="602" ht="15.75" customHeight="1" s="38">
      <c r="A602" s="2" t="n"/>
      <c r="B602" s="2" t="n"/>
      <c r="C602" s="2" t="n"/>
      <c r="D602" s="2" t="n"/>
      <c r="E602" s="2" t="n"/>
      <c r="F602" s="2" t="n"/>
      <c r="I602" s="2" t="n"/>
    </row>
    <row r="603" ht="15.75" customHeight="1" s="38">
      <c r="A603" s="2" t="n"/>
      <c r="B603" s="2" t="n"/>
      <c r="C603" s="2" t="n"/>
      <c r="D603" s="2" t="n"/>
      <c r="E603" s="2" t="n"/>
      <c r="F603" s="2" t="n"/>
      <c r="I603" s="2" t="n"/>
    </row>
    <row r="604" ht="15.75" customHeight="1" s="38">
      <c r="A604" s="2" t="n"/>
      <c r="B604" s="2" t="n"/>
      <c r="C604" s="2" t="n"/>
      <c r="D604" s="2" t="n"/>
      <c r="E604" s="2" t="n"/>
      <c r="F604" s="2" t="n"/>
      <c r="I604" s="2" t="n"/>
    </row>
    <row r="605" ht="15.75" customHeight="1" s="38">
      <c r="A605" s="2" t="n"/>
      <c r="B605" s="2" t="n"/>
      <c r="C605" s="2" t="n"/>
      <c r="D605" s="2" t="n"/>
      <c r="E605" s="2" t="n"/>
      <c r="F605" s="2" t="n"/>
      <c r="I605" s="2" t="n"/>
    </row>
    <row r="606" ht="15.75" customHeight="1" s="38">
      <c r="A606" s="2" t="n"/>
      <c r="B606" s="2" t="n"/>
      <c r="C606" s="2" t="n"/>
      <c r="D606" s="2" t="n"/>
      <c r="E606" s="2" t="n"/>
      <c r="F606" s="2" t="n"/>
      <c r="I606" s="2" t="n"/>
    </row>
    <row r="607" ht="15.75" customHeight="1" s="38">
      <c r="A607" s="2" t="n"/>
      <c r="B607" s="2" t="n"/>
      <c r="C607" s="2" t="n"/>
      <c r="D607" s="2" t="n"/>
      <c r="E607" s="2" t="n"/>
      <c r="F607" s="2" t="n"/>
      <c r="I607" s="2" t="n"/>
    </row>
    <row r="608" ht="15.75" customHeight="1" s="38">
      <c r="A608" s="2" t="n"/>
      <c r="B608" s="2" t="n"/>
      <c r="C608" s="2" t="n"/>
      <c r="D608" s="2" t="n"/>
      <c r="E608" s="2" t="n"/>
      <c r="F608" s="2" t="n"/>
      <c r="I608" s="2" t="n"/>
    </row>
    <row r="609" ht="15.75" customHeight="1" s="38">
      <c r="A609" s="2" t="n"/>
      <c r="B609" s="2" t="n"/>
      <c r="C609" s="2" t="n"/>
      <c r="D609" s="2" t="n"/>
      <c r="E609" s="2" t="n"/>
      <c r="F609" s="2" t="n"/>
      <c r="I609" s="2" t="n"/>
    </row>
    <row r="610" ht="15.75" customHeight="1" s="38">
      <c r="A610" s="2" t="n"/>
      <c r="B610" s="2" t="n"/>
      <c r="C610" s="2" t="n"/>
      <c r="D610" s="2" t="n"/>
      <c r="E610" s="2" t="n"/>
      <c r="F610" s="2" t="n"/>
      <c r="I610" s="2" t="n"/>
    </row>
    <row r="611" ht="15.75" customHeight="1" s="38">
      <c r="A611" s="2" t="n"/>
      <c r="B611" s="2" t="n"/>
      <c r="C611" s="2" t="n"/>
      <c r="D611" s="2" t="n"/>
      <c r="E611" s="2" t="n"/>
      <c r="F611" s="2" t="n"/>
      <c r="I611" s="2" t="n"/>
    </row>
    <row r="612" ht="15.75" customHeight="1" s="38">
      <c r="A612" s="2" t="n"/>
      <c r="B612" s="2" t="n"/>
      <c r="C612" s="2" t="n"/>
      <c r="D612" s="2" t="n"/>
      <c r="E612" s="2" t="n"/>
      <c r="F612" s="2" t="n"/>
      <c r="I612" s="2" t="n"/>
    </row>
    <row r="613" ht="15.75" customHeight="1" s="38">
      <c r="A613" s="2" t="n"/>
      <c r="B613" s="2" t="n"/>
      <c r="C613" s="2" t="n"/>
      <c r="D613" s="2" t="n"/>
      <c r="E613" s="2" t="n"/>
      <c r="F613" s="2" t="n"/>
      <c r="I613" s="2" t="n"/>
    </row>
    <row r="614" ht="15.75" customHeight="1" s="38">
      <c r="A614" s="2" t="n"/>
      <c r="B614" s="2" t="n"/>
      <c r="C614" s="2" t="n"/>
      <c r="D614" s="2" t="n"/>
      <c r="E614" s="2" t="n"/>
      <c r="F614" s="2" t="n"/>
      <c r="I614" s="2" t="n"/>
    </row>
    <row r="615" ht="15.75" customHeight="1" s="38">
      <c r="A615" s="2" t="n"/>
      <c r="B615" s="2" t="n"/>
      <c r="C615" s="2" t="n"/>
      <c r="D615" s="2" t="n"/>
      <c r="E615" s="2" t="n"/>
      <c r="F615" s="2" t="n"/>
      <c r="I615" s="2" t="n"/>
    </row>
    <row r="616" ht="15.75" customHeight="1" s="38">
      <c r="A616" s="2" t="n"/>
      <c r="B616" s="2" t="n"/>
      <c r="C616" s="2" t="n"/>
      <c r="D616" s="2" t="n"/>
      <c r="E616" s="2" t="n"/>
      <c r="F616" s="2" t="n"/>
      <c r="I616" s="2" t="n"/>
    </row>
    <row r="617" ht="15.75" customHeight="1" s="38">
      <c r="A617" s="2" t="n"/>
      <c r="B617" s="2" t="n"/>
      <c r="C617" s="2" t="n"/>
      <c r="D617" s="2" t="n"/>
      <c r="E617" s="2" t="n"/>
      <c r="F617" s="2" t="n"/>
      <c r="I617" s="2" t="n"/>
    </row>
    <row r="618" ht="15.75" customHeight="1" s="38">
      <c r="A618" s="2" t="n"/>
      <c r="B618" s="2" t="n"/>
      <c r="C618" s="2" t="n"/>
      <c r="D618" s="2" t="n"/>
      <c r="E618" s="2" t="n"/>
      <c r="F618" s="2" t="n"/>
      <c r="I618" s="2" t="n"/>
    </row>
    <row r="619" ht="15.75" customHeight="1" s="38">
      <c r="A619" s="2" t="n"/>
      <c r="B619" s="2" t="n"/>
      <c r="C619" s="2" t="n"/>
      <c r="D619" s="2" t="n"/>
      <c r="E619" s="2" t="n"/>
      <c r="F619" s="2" t="n"/>
      <c r="I619" s="2" t="n"/>
    </row>
    <row r="620" ht="15.75" customHeight="1" s="38">
      <c r="A620" s="2" t="n"/>
      <c r="B620" s="2" t="n"/>
      <c r="C620" s="2" t="n"/>
      <c r="D620" s="2" t="n"/>
      <c r="E620" s="2" t="n"/>
      <c r="F620" s="2" t="n"/>
      <c r="I620" s="2" t="n"/>
    </row>
    <row r="621" ht="15.75" customHeight="1" s="38">
      <c r="A621" s="2" t="n"/>
      <c r="B621" s="2" t="n"/>
      <c r="C621" s="2" t="n"/>
      <c r="D621" s="2" t="n"/>
      <c r="E621" s="2" t="n"/>
      <c r="F621" s="2" t="n"/>
      <c r="I621" s="2" t="n"/>
    </row>
    <row r="622" ht="15.75" customHeight="1" s="38">
      <c r="A622" s="2" t="n"/>
      <c r="B622" s="2" t="n"/>
      <c r="C622" s="2" t="n"/>
      <c r="D622" s="2" t="n"/>
      <c r="E622" s="2" t="n"/>
      <c r="F622" s="2" t="n"/>
      <c r="I622" s="2" t="n"/>
    </row>
    <row r="623" ht="15.75" customHeight="1" s="38">
      <c r="A623" s="2" t="n"/>
      <c r="B623" s="2" t="n"/>
      <c r="C623" s="2" t="n"/>
      <c r="D623" s="2" t="n"/>
      <c r="E623" s="2" t="n"/>
      <c r="F623" s="2" t="n"/>
      <c r="I623" s="2" t="n"/>
    </row>
    <row r="624" ht="15.75" customHeight="1" s="38">
      <c r="A624" s="2" t="n"/>
      <c r="B624" s="2" t="n"/>
      <c r="C624" s="2" t="n"/>
      <c r="D624" s="2" t="n"/>
      <c r="E624" s="2" t="n"/>
      <c r="F624" s="2" t="n"/>
      <c r="I624" s="2" t="n"/>
    </row>
    <row r="625" ht="15.75" customHeight="1" s="38">
      <c r="A625" s="2" t="n"/>
      <c r="B625" s="2" t="n"/>
      <c r="C625" s="2" t="n"/>
      <c r="D625" s="2" t="n"/>
      <c r="E625" s="2" t="n"/>
      <c r="F625" s="2" t="n"/>
      <c r="I625" s="2" t="n"/>
    </row>
    <row r="626" ht="15.75" customHeight="1" s="38">
      <c r="A626" s="2" t="n"/>
      <c r="B626" s="2" t="n"/>
      <c r="C626" s="2" t="n"/>
      <c r="D626" s="2" t="n"/>
      <c r="E626" s="2" t="n"/>
      <c r="F626" s="2" t="n"/>
      <c r="I626" s="2" t="n"/>
    </row>
    <row r="627" ht="15.75" customHeight="1" s="38">
      <c r="A627" s="2" t="n"/>
      <c r="B627" s="2" t="n"/>
      <c r="C627" s="2" t="n"/>
      <c r="D627" s="2" t="n"/>
      <c r="E627" s="2" t="n"/>
      <c r="F627" s="2" t="n"/>
      <c r="I627" s="2" t="n"/>
    </row>
    <row r="628" ht="15.75" customHeight="1" s="38">
      <c r="A628" s="2" t="n"/>
      <c r="B628" s="2" t="n"/>
      <c r="C628" s="2" t="n"/>
      <c r="D628" s="2" t="n"/>
      <c r="E628" s="2" t="n"/>
      <c r="F628" s="2" t="n"/>
      <c r="I628" s="2" t="n"/>
    </row>
    <row r="629" ht="15.75" customHeight="1" s="38">
      <c r="A629" s="2" t="n"/>
      <c r="B629" s="2" t="n"/>
      <c r="C629" s="2" t="n"/>
      <c r="D629" s="2" t="n"/>
      <c r="E629" s="2" t="n"/>
      <c r="F629" s="2" t="n"/>
      <c r="I629" s="2" t="n"/>
    </row>
    <row r="630" ht="15.75" customHeight="1" s="38">
      <c r="A630" s="2" t="n"/>
      <c r="B630" s="2" t="n"/>
      <c r="C630" s="2" t="n"/>
      <c r="D630" s="2" t="n"/>
      <c r="E630" s="2" t="n"/>
      <c r="F630" s="2" t="n"/>
      <c r="I630" s="2" t="n"/>
    </row>
    <row r="631" ht="15.75" customHeight="1" s="38">
      <c r="A631" s="2" t="n"/>
      <c r="B631" s="2" t="n"/>
      <c r="C631" s="2" t="n"/>
      <c r="D631" s="2" t="n"/>
      <c r="E631" s="2" t="n"/>
      <c r="F631" s="2" t="n"/>
      <c r="I631" s="2" t="n"/>
    </row>
    <row r="632" ht="15.75" customHeight="1" s="38">
      <c r="A632" s="2" t="n"/>
      <c r="B632" s="2" t="n"/>
      <c r="C632" s="2" t="n"/>
      <c r="D632" s="2" t="n"/>
      <c r="E632" s="2" t="n"/>
      <c r="F632" s="2" t="n"/>
      <c r="I632" s="2" t="n"/>
    </row>
    <row r="633" ht="15.75" customHeight="1" s="38">
      <c r="A633" s="2" t="n"/>
      <c r="B633" s="2" t="n"/>
      <c r="C633" s="2" t="n"/>
      <c r="D633" s="2" t="n"/>
      <c r="E633" s="2" t="n"/>
      <c r="F633" s="2" t="n"/>
      <c r="I633" s="2" t="n"/>
    </row>
    <row r="634" ht="15.75" customHeight="1" s="38">
      <c r="A634" s="2" t="n"/>
      <c r="B634" s="2" t="n"/>
      <c r="C634" s="2" t="n"/>
      <c r="D634" s="2" t="n"/>
      <c r="E634" s="2" t="n"/>
      <c r="F634" s="2" t="n"/>
      <c r="I634" s="2" t="n"/>
    </row>
    <row r="635" ht="15.75" customHeight="1" s="38">
      <c r="A635" s="2" t="n"/>
      <c r="B635" s="2" t="n"/>
      <c r="C635" s="2" t="n"/>
      <c r="D635" s="2" t="n"/>
      <c r="E635" s="2" t="n"/>
      <c r="F635" s="2" t="n"/>
      <c r="I635" s="2" t="n"/>
    </row>
    <row r="636" ht="15.75" customHeight="1" s="38">
      <c r="A636" s="2" t="n"/>
      <c r="B636" s="2" t="n"/>
      <c r="C636" s="2" t="n"/>
      <c r="D636" s="2" t="n"/>
      <c r="E636" s="2" t="n"/>
      <c r="F636" s="2" t="n"/>
      <c r="I636" s="2" t="n"/>
    </row>
    <row r="637" ht="15.75" customHeight="1" s="38">
      <c r="A637" s="2" t="n"/>
      <c r="B637" s="2" t="n"/>
      <c r="C637" s="2" t="n"/>
      <c r="D637" s="2" t="n"/>
      <c r="E637" s="2" t="n"/>
      <c r="F637" s="2" t="n"/>
      <c r="I637" s="2" t="n"/>
    </row>
    <row r="638" ht="15.75" customHeight="1" s="38">
      <c r="A638" s="2" t="n"/>
      <c r="B638" s="2" t="n"/>
      <c r="C638" s="2" t="n"/>
      <c r="D638" s="2" t="n"/>
      <c r="E638" s="2" t="n"/>
      <c r="F638" s="2" t="n"/>
      <c r="I638" s="2" t="n"/>
    </row>
    <row r="639" ht="15.75" customHeight="1" s="38">
      <c r="A639" s="2" t="n"/>
      <c r="B639" s="2" t="n"/>
      <c r="C639" s="2" t="n"/>
      <c r="D639" s="2" t="n"/>
      <c r="E639" s="2" t="n"/>
      <c r="F639" s="2" t="n"/>
      <c r="I639" s="2" t="n"/>
    </row>
    <row r="640" ht="15.75" customHeight="1" s="38">
      <c r="A640" s="2" t="n"/>
      <c r="B640" s="2" t="n"/>
      <c r="C640" s="2" t="n"/>
      <c r="D640" s="2" t="n"/>
      <c r="E640" s="2" t="n"/>
      <c r="F640" s="2" t="n"/>
      <c r="I640" s="2" t="n"/>
    </row>
    <row r="641" ht="15.75" customHeight="1" s="38">
      <c r="A641" s="2" t="n"/>
      <c r="B641" s="2" t="n"/>
      <c r="C641" s="2" t="n"/>
      <c r="D641" s="2" t="n"/>
      <c r="E641" s="2" t="n"/>
      <c r="F641" s="2" t="n"/>
      <c r="I641" s="2" t="n"/>
    </row>
    <row r="642" ht="15.75" customHeight="1" s="38">
      <c r="A642" s="2" t="n"/>
      <c r="B642" s="2" t="n"/>
      <c r="C642" s="2" t="n"/>
      <c r="D642" s="2" t="n"/>
      <c r="E642" s="2" t="n"/>
      <c r="F642" s="2" t="n"/>
      <c r="I642" s="2" t="n"/>
    </row>
    <row r="643" ht="15.75" customHeight="1" s="38">
      <c r="A643" s="2" t="n"/>
      <c r="B643" s="2" t="n"/>
      <c r="C643" s="2" t="n"/>
      <c r="D643" s="2" t="n"/>
      <c r="E643" s="2" t="n"/>
      <c r="F643" s="2" t="n"/>
      <c r="I643" s="2" t="n"/>
    </row>
    <row r="644" ht="15.75" customHeight="1" s="38">
      <c r="A644" s="2" t="n"/>
      <c r="B644" s="2" t="n"/>
      <c r="C644" s="2" t="n"/>
      <c r="D644" s="2" t="n"/>
      <c r="E644" s="2" t="n"/>
      <c r="F644" s="2" t="n"/>
      <c r="I644" s="2" t="n"/>
    </row>
    <row r="645" ht="15.75" customHeight="1" s="38">
      <c r="A645" s="2" t="n"/>
      <c r="B645" s="2" t="n"/>
      <c r="C645" s="2" t="n"/>
      <c r="D645" s="2" t="n"/>
      <c r="E645" s="2" t="n"/>
      <c r="F645" s="2" t="n"/>
      <c r="I645" s="2" t="n"/>
    </row>
    <row r="646" ht="15.75" customHeight="1" s="38">
      <c r="A646" s="2" t="n"/>
      <c r="B646" s="2" t="n"/>
      <c r="C646" s="2" t="n"/>
      <c r="D646" s="2" t="n"/>
      <c r="E646" s="2" t="n"/>
      <c r="F646" s="2" t="n"/>
      <c r="I646" s="2" t="n"/>
    </row>
    <row r="647" ht="15.75" customHeight="1" s="38">
      <c r="A647" s="2" t="n"/>
      <c r="B647" s="2" t="n"/>
      <c r="C647" s="2" t="n"/>
      <c r="D647" s="2" t="n"/>
      <c r="E647" s="2" t="n"/>
      <c r="F647" s="2" t="n"/>
      <c r="I647" s="2" t="n"/>
    </row>
    <row r="648" ht="15.75" customHeight="1" s="38">
      <c r="A648" s="2" t="n"/>
      <c r="B648" s="2" t="n"/>
      <c r="C648" s="2" t="n"/>
      <c r="D648" s="2" t="n"/>
      <c r="E648" s="2" t="n"/>
      <c r="F648" s="2" t="n"/>
      <c r="I648" s="2" t="n"/>
    </row>
    <row r="649" ht="15.75" customHeight="1" s="38">
      <c r="A649" s="2" t="n"/>
      <c r="B649" s="2" t="n"/>
      <c r="C649" s="2" t="n"/>
      <c r="D649" s="2" t="n"/>
      <c r="E649" s="2" t="n"/>
      <c r="F649" s="2" t="n"/>
      <c r="I649" s="2" t="n"/>
    </row>
    <row r="650" ht="15.75" customHeight="1" s="38">
      <c r="A650" s="2" t="n"/>
      <c r="B650" s="2" t="n"/>
      <c r="C650" s="2" t="n"/>
      <c r="D650" s="2" t="n"/>
      <c r="E650" s="2" t="n"/>
      <c r="F650" s="2" t="n"/>
      <c r="I650" s="2" t="n"/>
    </row>
    <row r="651" ht="15.75" customHeight="1" s="38">
      <c r="A651" s="2" t="n"/>
      <c r="B651" s="2" t="n"/>
      <c r="C651" s="2" t="n"/>
      <c r="D651" s="2" t="n"/>
      <c r="E651" s="2" t="n"/>
      <c r="F651" s="2" t="n"/>
      <c r="I651" s="2" t="n"/>
    </row>
    <row r="652" ht="15.75" customHeight="1" s="38">
      <c r="A652" s="2" t="n"/>
      <c r="B652" s="2" t="n"/>
      <c r="C652" s="2" t="n"/>
      <c r="D652" s="2" t="n"/>
      <c r="E652" s="2" t="n"/>
      <c r="F652" s="2" t="n"/>
      <c r="I652" s="2" t="n"/>
    </row>
    <row r="653" ht="15.75" customHeight="1" s="38">
      <c r="A653" s="2" t="n"/>
      <c r="B653" s="2" t="n"/>
      <c r="C653" s="2" t="n"/>
      <c r="D653" s="2" t="n"/>
      <c r="E653" s="2" t="n"/>
      <c r="F653" s="2" t="n"/>
      <c r="I653" s="2" t="n"/>
    </row>
    <row r="654" ht="15.75" customHeight="1" s="38">
      <c r="A654" s="2" t="n"/>
      <c r="B654" s="2" t="n"/>
      <c r="C654" s="2" t="n"/>
      <c r="D654" s="2" t="n"/>
      <c r="E654" s="2" t="n"/>
      <c r="F654" s="2" t="n"/>
      <c r="I654" s="2" t="n"/>
    </row>
    <row r="655" ht="15.75" customHeight="1" s="38">
      <c r="A655" s="2" t="n"/>
      <c r="B655" s="2" t="n"/>
      <c r="C655" s="2" t="n"/>
      <c r="D655" s="2" t="n"/>
      <c r="E655" s="2" t="n"/>
      <c r="F655" s="2" t="n"/>
      <c r="I655" s="2" t="n"/>
    </row>
    <row r="656" ht="15.75" customHeight="1" s="38">
      <c r="A656" s="2" t="n"/>
      <c r="B656" s="2" t="n"/>
      <c r="C656" s="2" t="n"/>
      <c r="D656" s="2" t="n"/>
      <c r="E656" s="2" t="n"/>
      <c r="F656" s="2" t="n"/>
      <c r="I656" s="2" t="n"/>
    </row>
    <row r="657" ht="15.75" customHeight="1" s="38">
      <c r="A657" s="2" t="n"/>
      <c r="B657" s="2" t="n"/>
      <c r="C657" s="2" t="n"/>
      <c r="D657" s="2" t="n"/>
      <c r="E657" s="2" t="n"/>
      <c r="F657" s="2" t="n"/>
      <c r="I657" s="2" t="n"/>
    </row>
    <row r="658" ht="15.75" customHeight="1" s="38">
      <c r="A658" s="2" t="n"/>
      <c r="B658" s="2" t="n"/>
      <c r="C658" s="2" t="n"/>
      <c r="D658" s="2" t="n"/>
      <c r="E658" s="2" t="n"/>
      <c r="F658" s="2" t="n"/>
      <c r="I658" s="2" t="n"/>
    </row>
    <row r="659" ht="15.75" customHeight="1" s="38">
      <c r="A659" s="2" t="n"/>
      <c r="B659" s="2" t="n"/>
      <c r="C659" s="2" t="n"/>
      <c r="D659" s="2" t="n"/>
      <c r="E659" s="2" t="n"/>
      <c r="F659" s="2" t="n"/>
      <c r="I659" s="2" t="n"/>
    </row>
    <row r="660" ht="15.75" customHeight="1" s="38">
      <c r="A660" s="2" t="n"/>
      <c r="B660" s="2" t="n"/>
      <c r="C660" s="2" t="n"/>
      <c r="D660" s="2" t="n"/>
      <c r="E660" s="2" t="n"/>
      <c r="F660" s="2" t="n"/>
      <c r="I660" s="2" t="n"/>
    </row>
    <row r="661" ht="15.75" customHeight="1" s="38">
      <c r="A661" s="2" t="n"/>
      <c r="B661" s="2" t="n"/>
      <c r="C661" s="2" t="n"/>
      <c r="D661" s="2" t="n"/>
      <c r="E661" s="2" t="n"/>
      <c r="F661" s="2" t="n"/>
      <c r="I661" s="2" t="n"/>
    </row>
    <row r="662" ht="15.75" customHeight="1" s="38">
      <c r="A662" s="2" t="n"/>
      <c r="B662" s="2" t="n"/>
      <c r="C662" s="2" t="n"/>
      <c r="D662" s="2" t="n"/>
      <c r="E662" s="2" t="n"/>
      <c r="F662" s="2" t="n"/>
      <c r="I662" s="2" t="n"/>
    </row>
    <row r="663" ht="15.75" customHeight="1" s="38">
      <c r="A663" s="2" t="n"/>
      <c r="B663" s="2" t="n"/>
      <c r="C663" s="2" t="n"/>
      <c r="D663" s="2" t="n"/>
      <c r="E663" s="2" t="n"/>
      <c r="F663" s="2" t="n"/>
      <c r="I663" s="2" t="n"/>
    </row>
    <row r="664" ht="15.75" customHeight="1" s="38">
      <c r="A664" s="2" t="n"/>
      <c r="B664" s="2" t="n"/>
      <c r="C664" s="2" t="n"/>
      <c r="D664" s="2" t="n"/>
      <c r="E664" s="2" t="n"/>
      <c r="F664" s="2" t="n"/>
      <c r="I664" s="2" t="n"/>
    </row>
    <row r="665" ht="15.75" customHeight="1" s="38">
      <c r="A665" s="2" t="n"/>
      <c r="B665" s="2" t="n"/>
      <c r="C665" s="2" t="n"/>
      <c r="D665" s="2" t="n"/>
      <c r="E665" s="2" t="n"/>
      <c r="F665" s="2" t="n"/>
      <c r="I665" s="2" t="n"/>
    </row>
    <row r="666" ht="15.75" customHeight="1" s="38">
      <c r="A666" s="2" t="n"/>
      <c r="B666" s="2" t="n"/>
      <c r="C666" s="2" t="n"/>
      <c r="D666" s="2" t="n"/>
      <c r="E666" s="2" t="n"/>
      <c r="F666" s="2" t="n"/>
      <c r="I666" s="2" t="n"/>
    </row>
    <row r="667" ht="15.75" customHeight="1" s="38">
      <c r="A667" s="2" t="n"/>
      <c r="B667" s="2" t="n"/>
      <c r="C667" s="2" t="n"/>
      <c r="D667" s="2" t="n"/>
      <c r="E667" s="2" t="n"/>
      <c r="F667" s="2" t="n"/>
      <c r="I667" s="2" t="n"/>
    </row>
    <row r="668" ht="15.75" customHeight="1" s="38">
      <c r="A668" s="2" t="n"/>
      <c r="B668" s="2" t="n"/>
      <c r="C668" s="2" t="n"/>
      <c r="D668" s="2" t="n"/>
      <c r="E668" s="2" t="n"/>
      <c r="F668" s="2" t="n"/>
      <c r="I668" s="2" t="n"/>
    </row>
    <row r="669" ht="15.75" customHeight="1" s="38">
      <c r="A669" s="2" t="n"/>
      <c r="B669" s="2" t="n"/>
      <c r="C669" s="2" t="n"/>
      <c r="D669" s="2" t="n"/>
      <c r="E669" s="2" t="n"/>
      <c r="F669" s="2" t="n"/>
      <c r="I669" s="2" t="n"/>
    </row>
    <row r="670" ht="15.75" customHeight="1" s="38">
      <c r="A670" s="2" t="n"/>
      <c r="B670" s="2" t="n"/>
      <c r="C670" s="2" t="n"/>
      <c r="D670" s="2" t="n"/>
      <c r="E670" s="2" t="n"/>
      <c r="F670" s="2" t="n"/>
      <c r="I670" s="2" t="n"/>
    </row>
    <row r="671" ht="15.75" customHeight="1" s="38">
      <c r="A671" s="2" t="n"/>
      <c r="B671" s="2" t="n"/>
      <c r="C671" s="2" t="n"/>
      <c r="D671" s="2" t="n"/>
      <c r="E671" s="2" t="n"/>
      <c r="F671" s="2" t="n"/>
      <c r="I671" s="2" t="n"/>
    </row>
    <row r="672" ht="15.75" customHeight="1" s="38">
      <c r="A672" s="2" t="n"/>
      <c r="B672" s="2" t="n"/>
      <c r="C672" s="2" t="n"/>
      <c r="D672" s="2" t="n"/>
      <c r="E672" s="2" t="n"/>
      <c r="F672" s="2" t="n"/>
      <c r="I672" s="2" t="n"/>
    </row>
    <row r="673" ht="15.75" customHeight="1" s="38">
      <c r="A673" s="2" t="n"/>
      <c r="B673" s="2" t="n"/>
      <c r="C673" s="2" t="n"/>
      <c r="D673" s="2" t="n"/>
      <c r="E673" s="2" t="n"/>
      <c r="F673" s="2" t="n"/>
      <c r="I673" s="2" t="n"/>
    </row>
    <row r="674" ht="15.75" customHeight="1" s="38">
      <c r="A674" s="2" t="n"/>
      <c r="B674" s="2" t="n"/>
      <c r="C674" s="2" t="n"/>
      <c r="D674" s="2" t="n"/>
      <c r="E674" s="2" t="n"/>
      <c r="F674" s="2" t="n"/>
      <c r="I674" s="2" t="n"/>
    </row>
    <row r="675" ht="15.75" customHeight="1" s="38">
      <c r="A675" s="2" t="n"/>
      <c r="B675" s="2" t="n"/>
      <c r="C675" s="2" t="n"/>
      <c r="D675" s="2" t="n"/>
      <c r="E675" s="2" t="n"/>
      <c r="F675" s="2" t="n"/>
      <c r="I675" s="2" t="n"/>
    </row>
    <row r="676" ht="15.75" customHeight="1" s="38">
      <c r="A676" s="2" t="n"/>
      <c r="B676" s="2" t="n"/>
      <c r="C676" s="2" t="n"/>
      <c r="D676" s="2" t="n"/>
      <c r="E676" s="2" t="n"/>
      <c r="F676" s="2" t="n"/>
      <c r="I676" s="2" t="n"/>
    </row>
    <row r="677" ht="15.75" customHeight="1" s="38">
      <c r="A677" s="2" t="n"/>
      <c r="B677" s="2" t="n"/>
      <c r="C677" s="2" t="n"/>
      <c r="D677" s="2" t="n"/>
      <c r="E677" s="2" t="n"/>
      <c r="F677" s="2" t="n"/>
      <c r="I677" s="2" t="n"/>
    </row>
    <row r="678" ht="15.75" customHeight="1" s="38">
      <c r="A678" s="2" t="n"/>
      <c r="B678" s="2" t="n"/>
      <c r="C678" s="2" t="n"/>
      <c r="D678" s="2" t="n"/>
      <c r="E678" s="2" t="n"/>
      <c r="F678" s="2" t="n"/>
      <c r="I678" s="2" t="n"/>
    </row>
    <row r="679" ht="15.75" customHeight="1" s="38">
      <c r="A679" s="2" t="n"/>
      <c r="B679" s="2" t="n"/>
      <c r="C679" s="2" t="n"/>
      <c r="D679" s="2" t="n"/>
      <c r="E679" s="2" t="n"/>
      <c r="F679" s="2" t="n"/>
      <c r="I679" s="2" t="n"/>
    </row>
    <row r="680" ht="15.75" customHeight="1" s="38">
      <c r="A680" s="2" t="n"/>
      <c r="B680" s="2" t="n"/>
      <c r="C680" s="2" t="n"/>
      <c r="D680" s="2" t="n"/>
      <c r="E680" s="2" t="n"/>
      <c r="F680" s="2" t="n"/>
      <c r="I680" s="2" t="n"/>
    </row>
    <row r="681" ht="15.75" customHeight="1" s="38">
      <c r="A681" s="2" t="n"/>
      <c r="B681" s="2" t="n"/>
      <c r="C681" s="2" t="n"/>
      <c r="D681" s="2" t="n"/>
      <c r="E681" s="2" t="n"/>
      <c r="F681" s="2" t="n"/>
      <c r="I681" s="2" t="n"/>
    </row>
    <row r="682" ht="15.75" customHeight="1" s="38">
      <c r="A682" s="2" t="n"/>
      <c r="B682" s="2" t="n"/>
      <c r="C682" s="2" t="n"/>
      <c r="D682" s="2" t="n"/>
      <c r="E682" s="2" t="n"/>
      <c r="F682" s="2" t="n"/>
      <c r="I682" s="2" t="n"/>
    </row>
    <row r="683" ht="15.75" customHeight="1" s="38">
      <c r="A683" s="2" t="n"/>
      <c r="B683" s="2" t="n"/>
      <c r="C683" s="2" t="n"/>
      <c r="D683" s="2" t="n"/>
      <c r="E683" s="2" t="n"/>
      <c r="F683" s="2" t="n"/>
      <c r="I683" s="2" t="n"/>
    </row>
    <row r="684" ht="15.75" customHeight="1" s="38">
      <c r="A684" s="2" t="n"/>
      <c r="B684" s="2" t="n"/>
      <c r="C684" s="2" t="n"/>
      <c r="D684" s="2" t="n"/>
      <c r="E684" s="2" t="n"/>
      <c r="F684" s="2" t="n"/>
      <c r="I684" s="2" t="n"/>
    </row>
    <row r="685" ht="15.75" customHeight="1" s="38">
      <c r="A685" s="2" t="n"/>
      <c r="B685" s="2" t="n"/>
      <c r="C685" s="2" t="n"/>
      <c r="D685" s="2" t="n"/>
      <c r="E685" s="2" t="n"/>
      <c r="F685" s="2" t="n"/>
      <c r="I685" s="2" t="n"/>
    </row>
    <row r="686" ht="15.75" customHeight="1" s="38">
      <c r="A686" s="2" t="n"/>
      <c r="B686" s="2" t="n"/>
      <c r="C686" s="2" t="n"/>
      <c r="D686" s="2" t="n"/>
      <c r="E686" s="2" t="n"/>
      <c r="F686" s="2" t="n"/>
      <c r="I686" s="2" t="n"/>
    </row>
    <row r="687" ht="15.75" customHeight="1" s="38">
      <c r="A687" s="2" t="n"/>
      <c r="B687" s="2" t="n"/>
      <c r="C687" s="2" t="n"/>
      <c r="D687" s="2" t="n"/>
      <c r="E687" s="2" t="n"/>
      <c r="F687" s="2" t="n"/>
      <c r="I687" s="2" t="n"/>
    </row>
    <row r="688" ht="15.75" customHeight="1" s="38">
      <c r="A688" s="2" t="n"/>
      <c r="B688" s="2" t="n"/>
      <c r="C688" s="2" t="n"/>
      <c r="D688" s="2" t="n"/>
      <c r="E688" s="2" t="n"/>
      <c r="F688" s="2" t="n"/>
      <c r="I688" s="2" t="n"/>
    </row>
    <row r="689" ht="15.75" customHeight="1" s="38">
      <c r="A689" s="2" t="n"/>
      <c r="B689" s="2" t="n"/>
      <c r="C689" s="2" t="n"/>
      <c r="D689" s="2" t="n"/>
      <c r="E689" s="2" t="n"/>
      <c r="F689" s="2" t="n"/>
      <c r="I689" s="2" t="n"/>
    </row>
    <row r="690" ht="15.75" customHeight="1" s="38">
      <c r="A690" s="2" t="n"/>
      <c r="B690" s="2" t="n"/>
      <c r="C690" s="2" t="n"/>
      <c r="D690" s="2" t="n"/>
      <c r="E690" s="2" t="n"/>
      <c r="F690" s="2" t="n"/>
      <c r="I690" s="2" t="n"/>
    </row>
    <row r="691" ht="15.75" customHeight="1" s="38">
      <c r="A691" s="2" t="n"/>
      <c r="B691" s="2" t="n"/>
      <c r="C691" s="2" t="n"/>
      <c r="D691" s="2" t="n"/>
      <c r="E691" s="2" t="n"/>
      <c r="F691" s="2" t="n"/>
      <c r="I691" s="2" t="n"/>
    </row>
    <row r="692" ht="15.75" customHeight="1" s="38">
      <c r="A692" s="2" t="n"/>
      <c r="B692" s="2" t="n"/>
      <c r="C692" s="2" t="n"/>
      <c r="D692" s="2" t="n"/>
      <c r="E692" s="2" t="n"/>
      <c r="F692" s="2" t="n"/>
      <c r="I692" s="2" t="n"/>
    </row>
    <row r="693" ht="15.75" customHeight="1" s="38">
      <c r="A693" s="2" t="n"/>
      <c r="B693" s="2" t="n"/>
      <c r="C693" s="2" t="n"/>
      <c r="D693" s="2" t="n"/>
      <c r="E693" s="2" t="n"/>
      <c r="F693" s="2" t="n"/>
      <c r="I693" s="2" t="n"/>
    </row>
    <row r="694" ht="15.75" customHeight="1" s="38">
      <c r="A694" s="2" t="n"/>
      <c r="B694" s="2" t="n"/>
      <c r="C694" s="2" t="n"/>
      <c r="D694" s="2" t="n"/>
      <c r="E694" s="2" t="n"/>
      <c r="F694" s="2" t="n"/>
      <c r="I694" s="2" t="n"/>
    </row>
    <row r="695" ht="15.75" customHeight="1" s="38">
      <c r="A695" s="2" t="n"/>
      <c r="B695" s="2" t="n"/>
      <c r="C695" s="2" t="n"/>
      <c r="D695" s="2" t="n"/>
      <c r="E695" s="2" t="n"/>
      <c r="F695" s="2" t="n"/>
      <c r="I695" s="2" t="n"/>
    </row>
    <row r="696" ht="15.75" customHeight="1" s="38">
      <c r="A696" s="2" t="n"/>
      <c r="B696" s="2" t="n"/>
      <c r="C696" s="2" t="n"/>
      <c r="D696" s="2" t="n"/>
      <c r="E696" s="2" t="n"/>
      <c r="F696" s="2" t="n"/>
      <c r="I696" s="2" t="n"/>
    </row>
    <row r="697" ht="15.75" customHeight="1" s="38">
      <c r="A697" s="2" t="n"/>
      <c r="B697" s="2" t="n"/>
      <c r="C697" s="2" t="n"/>
      <c r="D697" s="2" t="n"/>
      <c r="E697" s="2" t="n"/>
      <c r="F697" s="2" t="n"/>
      <c r="I697" s="2" t="n"/>
    </row>
    <row r="698" ht="15.75" customHeight="1" s="38">
      <c r="A698" s="2" t="n"/>
      <c r="B698" s="2" t="n"/>
      <c r="C698" s="2" t="n"/>
      <c r="D698" s="2" t="n"/>
      <c r="E698" s="2" t="n"/>
      <c r="F698" s="2" t="n"/>
      <c r="I698" s="2" t="n"/>
    </row>
    <row r="699" ht="15.75" customHeight="1" s="38">
      <c r="A699" s="2" t="n"/>
      <c r="B699" s="2" t="n"/>
      <c r="C699" s="2" t="n"/>
      <c r="D699" s="2" t="n"/>
      <c r="E699" s="2" t="n"/>
      <c r="F699" s="2" t="n"/>
      <c r="I699" s="2" t="n"/>
    </row>
    <row r="700" ht="15.75" customHeight="1" s="38">
      <c r="A700" s="2" t="n"/>
      <c r="B700" s="2" t="n"/>
      <c r="C700" s="2" t="n"/>
      <c r="D700" s="2" t="n"/>
      <c r="E700" s="2" t="n"/>
      <c r="F700" s="2" t="n"/>
      <c r="I700" s="2" t="n"/>
    </row>
    <row r="701" ht="15.75" customHeight="1" s="38">
      <c r="A701" s="2" t="n"/>
      <c r="B701" s="2" t="n"/>
      <c r="C701" s="2" t="n"/>
      <c r="D701" s="2" t="n"/>
      <c r="E701" s="2" t="n"/>
      <c r="F701" s="2" t="n"/>
      <c r="I701" s="2" t="n"/>
    </row>
    <row r="702" ht="15.75" customHeight="1" s="38">
      <c r="A702" s="2" t="n"/>
      <c r="B702" s="2" t="n"/>
      <c r="C702" s="2" t="n"/>
      <c r="D702" s="2" t="n"/>
      <c r="E702" s="2" t="n"/>
      <c r="F702" s="2" t="n"/>
      <c r="I702" s="2" t="n"/>
    </row>
    <row r="703" ht="15.75" customHeight="1" s="38">
      <c r="A703" s="2" t="n"/>
      <c r="B703" s="2" t="n"/>
      <c r="C703" s="2" t="n"/>
      <c r="D703" s="2" t="n"/>
      <c r="E703" s="2" t="n"/>
      <c r="F703" s="2" t="n"/>
      <c r="I703" s="2" t="n"/>
    </row>
    <row r="704" ht="15.75" customHeight="1" s="38">
      <c r="A704" s="2" t="n"/>
      <c r="B704" s="2" t="n"/>
      <c r="C704" s="2" t="n"/>
      <c r="D704" s="2" t="n"/>
      <c r="E704" s="2" t="n"/>
      <c r="F704" s="2" t="n"/>
      <c r="I704" s="2" t="n"/>
    </row>
    <row r="705" ht="15.75" customHeight="1" s="38">
      <c r="A705" s="2" t="n"/>
      <c r="B705" s="2" t="n"/>
      <c r="C705" s="2" t="n"/>
      <c r="D705" s="2" t="n"/>
      <c r="E705" s="2" t="n"/>
      <c r="F705" s="2" t="n"/>
      <c r="I705" s="2" t="n"/>
    </row>
    <row r="706" ht="15.75" customHeight="1" s="38">
      <c r="A706" s="2" t="n"/>
      <c r="B706" s="2" t="n"/>
      <c r="C706" s="2" t="n"/>
      <c r="D706" s="2" t="n"/>
      <c r="E706" s="2" t="n"/>
      <c r="F706" s="2" t="n"/>
      <c r="I706" s="2" t="n"/>
    </row>
    <row r="707" ht="15.75" customHeight="1" s="38">
      <c r="A707" s="2" t="n"/>
      <c r="B707" s="2" t="n"/>
      <c r="C707" s="2" t="n"/>
      <c r="D707" s="2" t="n"/>
      <c r="E707" s="2" t="n"/>
      <c r="F707" s="2" t="n"/>
      <c r="I707" s="2" t="n"/>
    </row>
    <row r="708" ht="15.75" customHeight="1" s="38">
      <c r="A708" s="2" t="n"/>
      <c r="B708" s="2" t="n"/>
      <c r="C708" s="2" t="n"/>
      <c r="D708" s="2" t="n"/>
      <c r="E708" s="2" t="n"/>
      <c r="F708" s="2" t="n"/>
      <c r="I708" s="2" t="n"/>
    </row>
    <row r="709" ht="15.75" customHeight="1" s="38">
      <c r="A709" s="2" t="n"/>
      <c r="B709" s="2" t="n"/>
      <c r="C709" s="2" t="n"/>
      <c r="D709" s="2" t="n"/>
      <c r="E709" s="2" t="n"/>
      <c r="F709" s="2" t="n"/>
      <c r="I709" s="2" t="n"/>
    </row>
    <row r="710" ht="15.75" customHeight="1" s="38">
      <c r="A710" s="2" t="n"/>
      <c r="B710" s="2" t="n"/>
      <c r="C710" s="2" t="n"/>
      <c r="D710" s="2" t="n"/>
      <c r="E710" s="2" t="n"/>
      <c r="F710" s="2" t="n"/>
      <c r="I710" s="2" t="n"/>
    </row>
    <row r="711" ht="15.75" customHeight="1" s="38">
      <c r="A711" s="2" t="n"/>
      <c r="B711" s="2" t="n"/>
      <c r="C711" s="2" t="n"/>
      <c r="D711" s="2" t="n"/>
      <c r="E711" s="2" t="n"/>
      <c r="F711" s="2" t="n"/>
      <c r="I711" s="2" t="n"/>
    </row>
    <row r="712" ht="15.75" customHeight="1" s="38">
      <c r="A712" s="2" t="n"/>
      <c r="B712" s="2" t="n"/>
      <c r="C712" s="2" t="n"/>
      <c r="D712" s="2" t="n"/>
      <c r="E712" s="2" t="n"/>
      <c r="F712" s="2" t="n"/>
      <c r="I712" s="2" t="n"/>
    </row>
    <row r="713" ht="15.75" customHeight="1" s="38">
      <c r="A713" s="2" t="n"/>
      <c r="B713" s="2" t="n"/>
      <c r="C713" s="2" t="n"/>
      <c r="D713" s="2" t="n"/>
      <c r="E713" s="2" t="n"/>
      <c r="F713" s="2" t="n"/>
      <c r="I713" s="2" t="n"/>
    </row>
    <row r="714" ht="15.75" customHeight="1" s="38">
      <c r="A714" s="2" t="n"/>
      <c r="B714" s="2" t="n"/>
      <c r="C714" s="2" t="n"/>
      <c r="D714" s="2" t="n"/>
      <c r="E714" s="2" t="n"/>
      <c r="F714" s="2" t="n"/>
      <c r="I714" s="2" t="n"/>
    </row>
    <row r="715" ht="15.75" customHeight="1" s="38">
      <c r="A715" s="2" t="n"/>
      <c r="B715" s="2" t="n"/>
      <c r="C715" s="2" t="n"/>
      <c r="D715" s="2" t="n"/>
      <c r="E715" s="2" t="n"/>
      <c r="F715" s="2" t="n"/>
      <c r="I715" s="2" t="n"/>
    </row>
    <row r="716" ht="15.75" customHeight="1" s="38">
      <c r="A716" s="2" t="n"/>
      <c r="B716" s="2" t="n"/>
      <c r="C716" s="2" t="n"/>
      <c r="D716" s="2" t="n"/>
      <c r="E716" s="2" t="n"/>
      <c r="F716" s="2" t="n"/>
      <c r="I716" s="2" t="n"/>
    </row>
    <row r="717" ht="15.75" customHeight="1" s="38">
      <c r="A717" s="2" t="n"/>
      <c r="B717" s="2" t="n"/>
      <c r="C717" s="2" t="n"/>
      <c r="D717" s="2" t="n"/>
      <c r="E717" s="2" t="n"/>
      <c r="F717" s="2" t="n"/>
      <c r="I717" s="2" t="n"/>
    </row>
    <row r="718" ht="15.75" customHeight="1" s="38">
      <c r="A718" s="2" t="n"/>
      <c r="B718" s="2" t="n"/>
      <c r="C718" s="2" t="n"/>
      <c r="D718" s="2" t="n"/>
      <c r="E718" s="2" t="n"/>
      <c r="F718" s="2" t="n"/>
      <c r="I718" s="2" t="n"/>
    </row>
    <row r="719" ht="15.75" customHeight="1" s="38">
      <c r="A719" s="2" t="n"/>
      <c r="B719" s="2" t="n"/>
      <c r="C719" s="2" t="n"/>
      <c r="D719" s="2" t="n"/>
      <c r="E719" s="2" t="n"/>
      <c r="F719" s="2" t="n"/>
      <c r="I719" s="2" t="n"/>
    </row>
    <row r="720" ht="15.75" customHeight="1" s="38">
      <c r="A720" s="2" t="n"/>
      <c r="B720" s="2" t="n"/>
      <c r="C720" s="2" t="n"/>
      <c r="D720" s="2" t="n"/>
      <c r="E720" s="2" t="n"/>
      <c r="F720" s="2" t="n"/>
      <c r="I720" s="2" t="n"/>
    </row>
    <row r="721" ht="15.75" customHeight="1" s="38">
      <c r="A721" s="2" t="n"/>
      <c r="B721" s="2" t="n"/>
      <c r="C721" s="2" t="n"/>
      <c r="D721" s="2" t="n"/>
      <c r="E721" s="2" t="n"/>
      <c r="F721" s="2" t="n"/>
      <c r="I721" s="2" t="n"/>
    </row>
    <row r="722" ht="15.75" customHeight="1" s="38">
      <c r="A722" s="2" t="n"/>
      <c r="B722" s="2" t="n"/>
      <c r="C722" s="2" t="n"/>
      <c r="D722" s="2" t="n"/>
      <c r="E722" s="2" t="n"/>
      <c r="F722" s="2" t="n"/>
      <c r="I722" s="2" t="n"/>
    </row>
    <row r="723" ht="15.75" customHeight="1" s="38">
      <c r="A723" s="2" t="n"/>
      <c r="B723" s="2" t="n"/>
      <c r="C723" s="2" t="n"/>
      <c r="D723" s="2" t="n"/>
      <c r="E723" s="2" t="n"/>
      <c r="F723" s="2" t="n"/>
      <c r="I723" s="2" t="n"/>
    </row>
    <row r="724" ht="15.75" customHeight="1" s="38">
      <c r="A724" s="2" t="n"/>
      <c r="B724" s="2" t="n"/>
      <c r="C724" s="2" t="n"/>
      <c r="D724" s="2" t="n"/>
      <c r="E724" s="2" t="n"/>
      <c r="F724" s="2" t="n"/>
      <c r="I724" s="2" t="n"/>
    </row>
    <row r="725" ht="15.75" customHeight="1" s="38">
      <c r="A725" s="2" t="n"/>
      <c r="B725" s="2" t="n"/>
      <c r="C725" s="2" t="n"/>
      <c r="D725" s="2" t="n"/>
      <c r="E725" s="2" t="n"/>
      <c r="F725" s="2" t="n"/>
      <c r="I725" s="2" t="n"/>
    </row>
    <row r="726" ht="15.75" customHeight="1" s="38">
      <c r="A726" s="2" t="n"/>
      <c r="B726" s="2" t="n"/>
      <c r="C726" s="2" t="n"/>
      <c r="D726" s="2" t="n"/>
      <c r="E726" s="2" t="n"/>
      <c r="F726" s="2" t="n"/>
      <c r="I726" s="2" t="n"/>
    </row>
    <row r="727" ht="15.75" customHeight="1" s="38">
      <c r="A727" s="2" t="n"/>
      <c r="B727" s="2" t="n"/>
      <c r="C727" s="2" t="n"/>
      <c r="D727" s="2" t="n"/>
      <c r="E727" s="2" t="n"/>
      <c r="F727" s="2" t="n"/>
      <c r="I727" s="2" t="n"/>
    </row>
    <row r="728" ht="15.75" customHeight="1" s="38">
      <c r="A728" s="2" t="n"/>
      <c r="B728" s="2" t="n"/>
      <c r="C728" s="2" t="n"/>
      <c r="D728" s="2" t="n"/>
      <c r="E728" s="2" t="n"/>
      <c r="F728" s="2" t="n"/>
      <c r="I728" s="2" t="n"/>
    </row>
    <row r="729" ht="15.75" customHeight="1" s="38">
      <c r="A729" s="2" t="n"/>
      <c r="B729" s="2" t="n"/>
      <c r="C729" s="2" t="n"/>
      <c r="D729" s="2" t="n"/>
      <c r="E729" s="2" t="n"/>
      <c r="F729" s="2" t="n"/>
      <c r="I729" s="2" t="n"/>
    </row>
    <row r="730" ht="15.75" customHeight="1" s="38">
      <c r="A730" s="2" t="n"/>
      <c r="B730" s="2" t="n"/>
      <c r="C730" s="2" t="n"/>
      <c r="D730" s="2" t="n"/>
      <c r="E730" s="2" t="n"/>
      <c r="F730" s="2" t="n"/>
      <c r="I730" s="2" t="n"/>
    </row>
    <row r="731" ht="15.75" customHeight="1" s="38">
      <c r="A731" s="2" t="n"/>
      <c r="B731" s="2" t="n"/>
      <c r="C731" s="2" t="n"/>
      <c r="D731" s="2" t="n"/>
      <c r="E731" s="2" t="n"/>
      <c r="F731" s="2" t="n"/>
      <c r="I731" s="2" t="n"/>
    </row>
    <row r="732" ht="15.75" customHeight="1" s="38">
      <c r="A732" s="2" t="n"/>
      <c r="B732" s="2" t="n"/>
      <c r="C732" s="2" t="n"/>
      <c r="D732" s="2" t="n"/>
      <c r="E732" s="2" t="n"/>
      <c r="F732" s="2" t="n"/>
      <c r="I732" s="2" t="n"/>
    </row>
    <row r="733" ht="15.75" customHeight="1" s="38">
      <c r="A733" s="2" t="n"/>
      <c r="B733" s="2" t="n"/>
      <c r="C733" s="2" t="n"/>
      <c r="D733" s="2" t="n"/>
      <c r="E733" s="2" t="n"/>
      <c r="F733" s="2" t="n"/>
      <c r="I733" s="2" t="n"/>
    </row>
    <row r="734" ht="15.75" customHeight="1" s="38">
      <c r="A734" s="2" t="n"/>
      <c r="B734" s="2" t="n"/>
      <c r="C734" s="2" t="n"/>
      <c r="D734" s="2" t="n"/>
      <c r="E734" s="2" t="n"/>
      <c r="F734" s="2" t="n"/>
      <c r="I734" s="2" t="n"/>
    </row>
    <row r="735" ht="15.75" customHeight="1" s="38">
      <c r="A735" s="2" t="n"/>
      <c r="B735" s="2" t="n"/>
      <c r="C735" s="2" t="n"/>
      <c r="D735" s="2" t="n"/>
      <c r="E735" s="2" t="n"/>
      <c r="F735" s="2" t="n"/>
      <c r="I735" s="2" t="n"/>
    </row>
    <row r="736" ht="15.75" customHeight="1" s="38">
      <c r="A736" s="2" t="n"/>
      <c r="B736" s="2" t="n"/>
      <c r="C736" s="2" t="n"/>
      <c r="D736" s="2" t="n"/>
      <c r="E736" s="2" t="n"/>
      <c r="F736" s="2" t="n"/>
      <c r="I736" s="2" t="n"/>
    </row>
    <row r="737" ht="15.75" customHeight="1" s="38">
      <c r="A737" s="2" t="n"/>
      <c r="B737" s="2" t="n"/>
      <c r="C737" s="2" t="n"/>
      <c r="D737" s="2" t="n"/>
      <c r="E737" s="2" t="n"/>
      <c r="F737" s="2" t="n"/>
      <c r="I737" s="2" t="n"/>
    </row>
    <row r="738" ht="15.75" customHeight="1" s="38">
      <c r="A738" s="2" t="n"/>
      <c r="B738" s="2" t="n"/>
      <c r="C738" s="2" t="n"/>
      <c r="D738" s="2" t="n"/>
      <c r="E738" s="2" t="n"/>
      <c r="F738" s="2" t="n"/>
      <c r="I738" s="2" t="n"/>
    </row>
    <row r="739" ht="15.75" customHeight="1" s="38">
      <c r="A739" s="2" t="n"/>
      <c r="B739" s="2" t="n"/>
      <c r="C739" s="2" t="n"/>
      <c r="D739" s="2" t="n"/>
      <c r="E739" s="2" t="n"/>
      <c r="F739" s="2" t="n"/>
      <c r="I739" s="2" t="n"/>
    </row>
    <row r="740" ht="15.75" customHeight="1" s="38">
      <c r="A740" s="2" t="n"/>
      <c r="B740" s="2" t="n"/>
      <c r="C740" s="2" t="n"/>
      <c r="D740" s="2" t="n"/>
      <c r="E740" s="2" t="n"/>
      <c r="F740" s="2" t="n"/>
      <c r="I740" s="2" t="n"/>
    </row>
    <row r="741" ht="15.75" customHeight="1" s="38">
      <c r="A741" s="2" t="n"/>
      <c r="B741" s="2" t="n"/>
      <c r="C741" s="2" t="n"/>
      <c r="D741" s="2" t="n"/>
      <c r="E741" s="2" t="n"/>
      <c r="F741" s="2" t="n"/>
      <c r="I741" s="2" t="n"/>
    </row>
    <row r="742" ht="15.75" customHeight="1" s="38">
      <c r="A742" s="2" t="n"/>
      <c r="B742" s="2" t="n"/>
      <c r="C742" s="2" t="n"/>
      <c r="D742" s="2" t="n"/>
      <c r="E742" s="2" t="n"/>
      <c r="F742" s="2" t="n"/>
      <c r="I742" s="2" t="n"/>
    </row>
    <row r="743" ht="15.75" customHeight="1" s="38">
      <c r="A743" s="2" t="n"/>
      <c r="B743" s="2" t="n"/>
      <c r="C743" s="2" t="n"/>
      <c r="D743" s="2" t="n"/>
      <c r="E743" s="2" t="n"/>
      <c r="F743" s="2" t="n"/>
      <c r="I743" s="2" t="n"/>
    </row>
    <row r="744" ht="15.75" customHeight="1" s="38">
      <c r="A744" s="2" t="n"/>
      <c r="B744" s="2" t="n"/>
      <c r="C744" s="2" t="n"/>
      <c r="D744" s="2" t="n"/>
      <c r="E744" s="2" t="n"/>
      <c r="F744" s="2" t="n"/>
      <c r="I744" s="2" t="n"/>
    </row>
    <row r="745" ht="15.75" customHeight="1" s="38">
      <c r="A745" s="2" t="n"/>
      <c r="B745" s="2" t="n"/>
      <c r="C745" s="2" t="n"/>
      <c r="D745" s="2" t="n"/>
      <c r="E745" s="2" t="n"/>
      <c r="F745" s="2" t="n"/>
      <c r="I745" s="2" t="n"/>
    </row>
    <row r="746" ht="15.75" customHeight="1" s="38">
      <c r="A746" s="2" t="n"/>
      <c r="B746" s="2" t="n"/>
      <c r="C746" s="2" t="n"/>
      <c r="D746" s="2" t="n"/>
      <c r="E746" s="2" t="n"/>
      <c r="F746" s="2" t="n"/>
      <c r="I746" s="2" t="n"/>
    </row>
    <row r="747" ht="15.75" customHeight="1" s="38">
      <c r="A747" s="2" t="n"/>
      <c r="B747" s="2" t="n"/>
      <c r="C747" s="2" t="n"/>
      <c r="D747" s="2" t="n"/>
      <c r="E747" s="2" t="n"/>
      <c r="F747" s="2" t="n"/>
      <c r="I747" s="2" t="n"/>
    </row>
    <row r="748" ht="15.75" customHeight="1" s="38">
      <c r="A748" s="2" t="n"/>
      <c r="B748" s="2" t="n"/>
      <c r="C748" s="2" t="n"/>
      <c r="D748" s="2" t="n"/>
      <c r="E748" s="2" t="n"/>
      <c r="F748" s="2" t="n"/>
      <c r="I748" s="2" t="n"/>
    </row>
    <row r="749" ht="15.75" customHeight="1" s="38">
      <c r="A749" s="2" t="n"/>
      <c r="B749" s="2" t="n"/>
      <c r="C749" s="2" t="n"/>
      <c r="D749" s="2" t="n"/>
      <c r="E749" s="2" t="n"/>
      <c r="F749" s="2" t="n"/>
      <c r="I749" s="2" t="n"/>
    </row>
    <row r="750" ht="15.75" customHeight="1" s="38">
      <c r="A750" s="2" t="n"/>
      <c r="B750" s="2" t="n"/>
      <c r="C750" s="2" t="n"/>
      <c r="D750" s="2" t="n"/>
      <c r="E750" s="2" t="n"/>
      <c r="F750" s="2" t="n"/>
      <c r="I750" s="2" t="n"/>
    </row>
    <row r="751" ht="15.75" customHeight="1" s="38">
      <c r="A751" s="2" t="n"/>
      <c r="B751" s="2" t="n"/>
      <c r="C751" s="2" t="n"/>
      <c r="D751" s="2" t="n"/>
      <c r="E751" s="2" t="n"/>
      <c r="F751" s="2" t="n"/>
      <c r="I751" s="2" t="n"/>
    </row>
    <row r="752" ht="15.75" customHeight="1" s="38">
      <c r="A752" s="2" t="n"/>
      <c r="B752" s="2" t="n"/>
      <c r="C752" s="2" t="n"/>
      <c r="D752" s="2" t="n"/>
      <c r="E752" s="2" t="n"/>
      <c r="F752" s="2" t="n"/>
      <c r="I752" s="2" t="n"/>
    </row>
    <row r="753" ht="15.75" customHeight="1" s="38">
      <c r="A753" s="2" t="n"/>
      <c r="B753" s="2" t="n"/>
      <c r="C753" s="2" t="n"/>
      <c r="D753" s="2" t="n"/>
      <c r="E753" s="2" t="n"/>
      <c r="F753" s="2" t="n"/>
      <c r="I753" s="2" t="n"/>
    </row>
    <row r="754" ht="15.75" customHeight="1" s="38">
      <c r="A754" s="2" t="n"/>
      <c r="B754" s="2" t="n"/>
      <c r="C754" s="2" t="n"/>
      <c r="D754" s="2" t="n"/>
      <c r="E754" s="2" t="n"/>
      <c r="F754" s="2" t="n"/>
      <c r="I754" s="2" t="n"/>
    </row>
    <row r="755" ht="15.75" customHeight="1" s="38">
      <c r="A755" s="2" t="n"/>
      <c r="B755" s="2" t="n"/>
      <c r="C755" s="2" t="n"/>
      <c r="D755" s="2" t="n"/>
      <c r="E755" s="2" t="n"/>
      <c r="F755" s="2" t="n"/>
      <c r="I755" s="2" t="n"/>
    </row>
    <row r="756" ht="15.75" customHeight="1" s="38">
      <c r="A756" s="2" t="n"/>
      <c r="B756" s="2" t="n"/>
      <c r="C756" s="2" t="n"/>
      <c r="D756" s="2" t="n"/>
      <c r="E756" s="2" t="n"/>
      <c r="F756" s="2" t="n"/>
      <c r="I756" s="2" t="n"/>
    </row>
    <row r="757" ht="15.75" customHeight="1" s="38">
      <c r="A757" s="2" t="n"/>
      <c r="B757" s="2" t="n"/>
      <c r="C757" s="2" t="n"/>
      <c r="D757" s="2" t="n"/>
      <c r="E757" s="2" t="n"/>
      <c r="F757" s="2" t="n"/>
      <c r="I757" s="2" t="n"/>
    </row>
    <row r="758" ht="15.75" customHeight="1" s="38">
      <c r="A758" s="2" t="n"/>
      <c r="B758" s="2" t="n"/>
      <c r="C758" s="2" t="n"/>
      <c r="D758" s="2" t="n"/>
      <c r="E758" s="2" t="n"/>
      <c r="F758" s="2" t="n"/>
      <c r="I758" s="2" t="n"/>
    </row>
    <row r="759" ht="15.75" customHeight="1" s="38">
      <c r="A759" s="2" t="n"/>
      <c r="B759" s="2" t="n"/>
      <c r="C759" s="2" t="n"/>
      <c r="D759" s="2" t="n"/>
      <c r="E759" s="2" t="n"/>
      <c r="F759" s="2" t="n"/>
      <c r="I759" s="2" t="n"/>
    </row>
    <row r="760" ht="15.75" customHeight="1" s="38">
      <c r="A760" s="2" t="n"/>
      <c r="B760" s="2" t="n"/>
      <c r="C760" s="2" t="n"/>
      <c r="D760" s="2" t="n"/>
      <c r="E760" s="2" t="n"/>
      <c r="F760" s="2" t="n"/>
      <c r="I760" s="2" t="n"/>
    </row>
    <row r="761" ht="15.75" customHeight="1" s="38">
      <c r="A761" s="2" t="n"/>
      <c r="B761" s="2" t="n"/>
      <c r="C761" s="2" t="n"/>
      <c r="D761" s="2" t="n"/>
      <c r="E761" s="2" t="n"/>
      <c r="F761" s="2" t="n"/>
      <c r="I761" s="2" t="n"/>
    </row>
    <row r="762" ht="15.75" customHeight="1" s="38">
      <c r="A762" s="2" t="n"/>
      <c r="B762" s="2" t="n"/>
      <c r="C762" s="2" t="n"/>
      <c r="D762" s="2" t="n"/>
      <c r="E762" s="2" t="n"/>
      <c r="F762" s="2" t="n"/>
      <c r="I762" s="2" t="n"/>
    </row>
    <row r="763" ht="15.75" customHeight="1" s="38">
      <c r="A763" s="2" t="n"/>
      <c r="B763" s="2" t="n"/>
      <c r="C763" s="2" t="n"/>
      <c r="D763" s="2" t="n"/>
      <c r="E763" s="2" t="n"/>
      <c r="F763" s="2" t="n"/>
      <c r="I763" s="2" t="n"/>
    </row>
    <row r="764" ht="15.75" customHeight="1" s="38">
      <c r="A764" s="2" t="n"/>
      <c r="B764" s="2" t="n"/>
      <c r="C764" s="2" t="n"/>
      <c r="D764" s="2" t="n"/>
      <c r="E764" s="2" t="n"/>
      <c r="F764" s="2" t="n"/>
      <c r="I764" s="2" t="n"/>
    </row>
    <row r="765" ht="15.75" customHeight="1" s="38">
      <c r="A765" s="2" t="n"/>
      <c r="B765" s="2" t="n"/>
      <c r="C765" s="2" t="n"/>
      <c r="D765" s="2" t="n"/>
      <c r="E765" s="2" t="n"/>
      <c r="F765" s="2" t="n"/>
      <c r="I765" s="2" t="n"/>
    </row>
    <row r="766" ht="15.75" customHeight="1" s="38">
      <c r="A766" s="2" t="n"/>
      <c r="B766" s="2" t="n"/>
      <c r="C766" s="2" t="n"/>
      <c r="D766" s="2" t="n"/>
      <c r="E766" s="2" t="n"/>
      <c r="F766" s="2" t="n"/>
      <c r="I766" s="2" t="n"/>
    </row>
    <row r="767" ht="15.75" customHeight="1" s="38">
      <c r="A767" s="2" t="n"/>
      <c r="B767" s="2" t="n"/>
      <c r="C767" s="2" t="n"/>
      <c r="D767" s="2" t="n"/>
      <c r="E767" s="2" t="n"/>
      <c r="F767" s="2" t="n"/>
      <c r="I767" s="2" t="n"/>
    </row>
    <row r="768" ht="15.75" customHeight="1" s="38">
      <c r="A768" s="2" t="n"/>
      <c r="B768" s="2" t="n"/>
      <c r="C768" s="2" t="n"/>
      <c r="D768" s="2" t="n"/>
      <c r="E768" s="2" t="n"/>
      <c r="F768" s="2" t="n"/>
      <c r="I768" s="2" t="n"/>
    </row>
    <row r="769" ht="15.75" customHeight="1" s="38">
      <c r="A769" s="2" t="n"/>
      <c r="B769" s="2" t="n"/>
      <c r="C769" s="2" t="n"/>
      <c r="D769" s="2" t="n"/>
      <c r="E769" s="2" t="n"/>
      <c r="F769" s="2" t="n"/>
      <c r="I769" s="2" t="n"/>
    </row>
    <row r="770" ht="15.75" customHeight="1" s="38">
      <c r="A770" s="2" t="n"/>
      <c r="B770" s="2" t="n"/>
      <c r="C770" s="2" t="n"/>
      <c r="D770" s="2" t="n"/>
      <c r="E770" s="2" t="n"/>
      <c r="F770" s="2" t="n"/>
      <c r="I770" s="2" t="n"/>
    </row>
    <row r="771" ht="15.75" customHeight="1" s="38">
      <c r="A771" s="2" t="n"/>
      <c r="B771" s="2" t="n"/>
      <c r="C771" s="2" t="n"/>
      <c r="D771" s="2" t="n"/>
      <c r="E771" s="2" t="n"/>
      <c r="F771" s="2" t="n"/>
      <c r="I771" s="2" t="n"/>
    </row>
    <row r="772" ht="15.75" customHeight="1" s="38">
      <c r="A772" s="2" t="n"/>
      <c r="B772" s="2" t="n"/>
      <c r="C772" s="2" t="n"/>
      <c r="D772" s="2" t="n"/>
      <c r="E772" s="2" t="n"/>
      <c r="F772" s="2" t="n"/>
      <c r="I772" s="2" t="n"/>
    </row>
    <row r="773" ht="15.75" customHeight="1" s="38">
      <c r="A773" s="2" t="n"/>
      <c r="B773" s="2" t="n"/>
      <c r="C773" s="2" t="n"/>
      <c r="D773" s="2" t="n"/>
      <c r="E773" s="2" t="n"/>
      <c r="F773" s="2" t="n"/>
      <c r="I773" s="2" t="n"/>
    </row>
    <row r="774" ht="15.75" customHeight="1" s="38">
      <c r="A774" s="2" t="n"/>
      <c r="B774" s="2" t="n"/>
      <c r="C774" s="2" t="n"/>
      <c r="D774" s="2" t="n"/>
      <c r="E774" s="2" t="n"/>
      <c r="F774" s="2" t="n"/>
      <c r="I774" s="2" t="n"/>
    </row>
    <row r="775" ht="15.75" customHeight="1" s="38">
      <c r="A775" s="2" t="n"/>
      <c r="B775" s="2" t="n"/>
      <c r="C775" s="2" t="n"/>
      <c r="D775" s="2" t="n"/>
      <c r="E775" s="2" t="n"/>
      <c r="F775" s="2" t="n"/>
      <c r="I775" s="2" t="n"/>
    </row>
    <row r="776" ht="15.75" customHeight="1" s="38">
      <c r="A776" s="2" t="n"/>
      <c r="B776" s="2" t="n"/>
      <c r="C776" s="2" t="n"/>
      <c r="D776" s="2" t="n"/>
      <c r="E776" s="2" t="n"/>
      <c r="F776" s="2" t="n"/>
      <c r="I776" s="2" t="n"/>
    </row>
    <row r="777" ht="15.75" customHeight="1" s="38">
      <c r="A777" s="2" t="n"/>
      <c r="B777" s="2" t="n"/>
      <c r="C777" s="2" t="n"/>
      <c r="D777" s="2" t="n"/>
      <c r="E777" s="2" t="n"/>
      <c r="F777" s="2" t="n"/>
      <c r="I777" s="2" t="n"/>
    </row>
    <row r="778" ht="15.75" customHeight="1" s="38">
      <c r="A778" s="2" t="n"/>
      <c r="B778" s="2" t="n"/>
      <c r="C778" s="2" t="n"/>
      <c r="D778" s="2" t="n"/>
      <c r="E778" s="2" t="n"/>
      <c r="F778" s="2" t="n"/>
      <c r="I778" s="2" t="n"/>
    </row>
    <row r="779" ht="15.75" customHeight="1" s="38">
      <c r="A779" s="2" t="n"/>
      <c r="B779" s="2" t="n"/>
      <c r="C779" s="2" t="n"/>
      <c r="D779" s="2" t="n"/>
      <c r="E779" s="2" t="n"/>
      <c r="F779" s="2" t="n"/>
      <c r="I779" s="2" t="n"/>
    </row>
    <row r="780" ht="15.75" customHeight="1" s="38">
      <c r="A780" s="2" t="n"/>
      <c r="B780" s="2" t="n"/>
      <c r="C780" s="2" t="n"/>
      <c r="D780" s="2" t="n"/>
      <c r="E780" s="2" t="n"/>
      <c r="F780" s="2" t="n"/>
      <c r="I780" s="2" t="n"/>
    </row>
    <row r="781" ht="15.75" customHeight="1" s="38">
      <c r="A781" s="2" t="n"/>
      <c r="B781" s="2" t="n"/>
      <c r="C781" s="2" t="n"/>
      <c r="D781" s="2" t="n"/>
      <c r="E781" s="2" t="n"/>
      <c r="F781" s="2" t="n"/>
      <c r="I781" s="2" t="n"/>
    </row>
    <row r="782" ht="15.75" customHeight="1" s="38">
      <c r="A782" s="2" t="n"/>
      <c r="B782" s="2" t="n"/>
      <c r="C782" s="2" t="n"/>
      <c r="D782" s="2" t="n"/>
      <c r="E782" s="2" t="n"/>
      <c r="F782" s="2" t="n"/>
      <c r="I782" s="2" t="n"/>
    </row>
    <row r="783" ht="15.75" customHeight="1" s="38">
      <c r="A783" s="2" t="n"/>
      <c r="B783" s="2" t="n"/>
      <c r="C783" s="2" t="n"/>
      <c r="D783" s="2" t="n"/>
      <c r="E783" s="2" t="n"/>
      <c r="F783" s="2" t="n"/>
      <c r="I783" s="2" t="n"/>
    </row>
    <row r="784" ht="15.75" customHeight="1" s="38">
      <c r="A784" s="2" t="n"/>
      <c r="B784" s="2" t="n"/>
      <c r="C784" s="2" t="n"/>
      <c r="D784" s="2" t="n"/>
      <c r="E784" s="2" t="n"/>
      <c r="F784" s="2" t="n"/>
      <c r="I784" s="2" t="n"/>
    </row>
    <row r="785" ht="15.75" customHeight="1" s="38">
      <c r="A785" s="2" t="n"/>
      <c r="B785" s="2" t="n"/>
      <c r="C785" s="2" t="n"/>
      <c r="D785" s="2" t="n"/>
      <c r="E785" s="2" t="n"/>
      <c r="F785" s="2" t="n"/>
      <c r="I785" s="2" t="n"/>
    </row>
    <row r="786" ht="15.75" customHeight="1" s="38">
      <c r="A786" s="2" t="n"/>
      <c r="B786" s="2" t="n"/>
      <c r="C786" s="2" t="n"/>
      <c r="D786" s="2" t="n"/>
      <c r="E786" s="2" t="n"/>
      <c r="F786" s="2" t="n"/>
      <c r="I786" s="2" t="n"/>
    </row>
    <row r="787" ht="15.75" customHeight="1" s="38">
      <c r="A787" s="2" t="n"/>
      <c r="B787" s="2" t="n"/>
      <c r="C787" s="2" t="n"/>
      <c r="D787" s="2" t="n"/>
      <c r="E787" s="2" t="n"/>
      <c r="F787" s="2" t="n"/>
      <c r="I787" s="2" t="n"/>
    </row>
    <row r="788" ht="15.75" customHeight="1" s="38">
      <c r="A788" s="2" t="n"/>
      <c r="B788" s="2" t="n"/>
      <c r="C788" s="2" t="n"/>
      <c r="D788" s="2" t="n"/>
      <c r="E788" s="2" t="n"/>
      <c r="F788" s="2" t="n"/>
      <c r="I788" s="2" t="n"/>
    </row>
    <row r="789" ht="15.75" customHeight="1" s="38">
      <c r="A789" s="2" t="n"/>
      <c r="B789" s="2" t="n"/>
      <c r="C789" s="2" t="n"/>
      <c r="D789" s="2" t="n"/>
      <c r="E789" s="2" t="n"/>
      <c r="F789" s="2" t="n"/>
      <c r="I789" s="2" t="n"/>
    </row>
    <row r="790" ht="15.75" customHeight="1" s="38">
      <c r="A790" s="2" t="n"/>
      <c r="B790" s="2" t="n"/>
      <c r="C790" s="2" t="n"/>
      <c r="D790" s="2" t="n"/>
      <c r="E790" s="2" t="n"/>
      <c r="F790" s="2" t="n"/>
      <c r="I790" s="2" t="n"/>
    </row>
    <row r="791" ht="15.75" customHeight="1" s="38">
      <c r="A791" s="2" t="n"/>
      <c r="B791" s="2" t="n"/>
      <c r="C791" s="2" t="n"/>
      <c r="D791" s="2" t="n"/>
      <c r="E791" s="2" t="n"/>
      <c r="F791" s="2" t="n"/>
      <c r="I791" s="2" t="n"/>
    </row>
    <row r="792" ht="15.75" customHeight="1" s="38">
      <c r="A792" s="2" t="n"/>
      <c r="B792" s="2" t="n"/>
      <c r="C792" s="2" t="n"/>
      <c r="D792" s="2" t="n"/>
      <c r="E792" s="2" t="n"/>
      <c r="F792" s="2" t="n"/>
      <c r="I792" s="2" t="n"/>
    </row>
    <row r="793" ht="15.75" customHeight="1" s="38">
      <c r="A793" s="2" t="n"/>
      <c r="B793" s="2" t="n"/>
      <c r="C793" s="2" t="n"/>
      <c r="D793" s="2" t="n"/>
      <c r="E793" s="2" t="n"/>
      <c r="F793" s="2" t="n"/>
      <c r="I793" s="2" t="n"/>
    </row>
    <row r="794" ht="15.75" customHeight="1" s="38">
      <c r="A794" s="2" t="n"/>
      <c r="B794" s="2" t="n"/>
      <c r="C794" s="2" t="n"/>
      <c r="D794" s="2" t="n"/>
      <c r="E794" s="2" t="n"/>
      <c r="F794" s="2" t="n"/>
      <c r="I794" s="2" t="n"/>
    </row>
    <row r="795" ht="15.75" customHeight="1" s="38">
      <c r="A795" s="2" t="n"/>
      <c r="B795" s="2" t="n"/>
      <c r="C795" s="2" t="n"/>
      <c r="D795" s="2" t="n"/>
      <c r="E795" s="2" t="n"/>
      <c r="F795" s="2" t="n"/>
      <c r="I795" s="2" t="n"/>
    </row>
    <row r="796" ht="15.75" customHeight="1" s="38">
      <c r="A796" s="2" t="n"/>
      <c r="B796" s="2" t="n"/>
      <c r="C796" s="2" t="n"/>
      <c r="D796" s="2" t="n"/>
      <c r="E796" s="2" t="n"/>
      <c r="F796" s="2" t="n"/>
      <c r="I796" s="2" t="n"/>
    </row>
    <row r="797" ht="15.75" customHeight="1" s="38">
      <c r="A797" s="2" t="n"/>
      <c r="B797" s="2" t="n"/>
      <c r="C797" s="2" t="n"/>
      <c r="D797" s="2" t="n"/>
      <c r="E797" s="2" t="n"/>
      <c r="F797" s="2" t="n"/>
      <c r="I797" s="2" t="n"/>
    </row>
    <row r="798" ht="15.75" customHeight="1" s="38">
      <c r="A798" s="2" t="n"/>
      <c r="B798" s="2" t="n"/>
      <c r="C798" s="2" t="n"/>
      <c r="D798" s="2" t="n"/>
      <c r="E798" s="2" t="n"/>
      <c r="F798" s="2" t="n"/>
      <c r="I798" s="2" t="n"/>
    </row>
    <row r="799" ht="15.75" customHeight="1" s="38">
      <c r="A799" s="2" t="n"/>
      <c r="B799" s="2" t="n"/>
      <c r="C799" s="2" t="n"/>
      <c r="D799" s="2" t="n"/>
      <c r="E799" s="2" t="n"/>
      <c r="F799" s="2" t="n"/>
      <c r="I799" s="2" t="n"/>
    </row>
    <row r="800" ht="15.75" customHeight="1" s="38">
      <c r="A800" s="2" t="n"/>
      <c r="B800" s="2" t="n"/>
      <c r="C800" s="2" t="n"/>
      <c r="D800" s="2" t="n"/>
      <c r="E800" s="2" t="n"/>
      <c r="F800" s="2" t="n"/>
      <c r="I800" s="2" t="n"/>
    </row>
    <row r="801" ht="15.75" customHeight="1" s="38">
      <c r="A801" s="2" t="n"/>
      <c r="B801" s="2" t="n"/>
      <c r="C801" s="2" t="n"/>
      <c r="D801" s="2" t="n"/>
      <c r="E801" s="2" t="n"/>
      <c r="F801" s="2" t="n"/>
      <c r="I801" s="2" t="n"/>
    </row>
    <row r="802" ht="15.75" customHeight="1" s="38">
      <c r="A802" s="2" t="n"/>
      <c r="B802" s="2" t="n"/>
      <c r="C802" s="2" t="n"/>
      <c r="D802" s="2" t="n"/>
      <c r="E802" s="2" t="n"/>
      <c r="F802" s="2" t="n"/>
      <c r="I802" s="2" t="n"/>
    </row>
    <row r="803" ht="15.75" customHeight="1" s="38">
      <c r="A803" s="2" t="n"/>
      <c r="B803" s="2" t="n"/>
      <c r="C803" s="2" t="n"/>
      <c r="D803" s="2" t="n"/>
      <c r="E803" s="2" t="n"/>
      <c r="F803" s="2" t="n"/>
      <c r="I803" s="2" t="n"/>
    </row>
    <row r="804" ht="15.75" customHeight="1" s="38">
      <c r="A804" s="2" t="n"/>
      <c r="B804" s="2" t="n"/>
      <c r="C804" s="2" t="n"/>
      <c r="D804" s="2" t="n"/>
      <c r="E804" s="2" t="n"/>
      <c r="F804" s="2" t="n"/>
      <c r="I804" s="2" t="n"/>
    </row>
    <row r="805" ht="15.75" customHeight="1" s="38">
      <c r="A805" s="2" t="n"/>
      <c r="B805" s="2" t="n"/>
      <c r="C805" s="2" t="n"/>
      <c r="D805" s="2" t="n"/>
      <c r="E805" s="2" t="n"/>
      <c r="F805" s="2" t="n"/>
      <c r="I805" s="2" t="n"/>
    </row>
    <row r="806" ht="15.75" customHeight="1" s="38">
      <c r="A806" s="2" t="n"/>
      <c r="B806" s="2" t="n"/>
      <c r="C806" s="2" t="n"/>
      <c r="D806" s="2" t="n"/>
      <c r="E806" s="2" t="n"/>
      <c r="F806" s="2" t="n"/>
      <c r="I806" s="2" t="n"/>
    </row>
    <row r="807" ht="15.75" customHeight="1" s="38">
      <c r="A807" s="2" t="n"/>
      <c r="B807" s="2" t="n"/>
      <c r="C807" s="2" t="n"/>
      <c r="D807" s="2" t="n"/>
      <c r="E807" s="2" t="n"/>
      <c r="F807" s="2" t="n"/>
      <c r="I807" s="2" t="n"/>
    </row>
    <row r="808" ht="15.75" customHeight="1" s="38">
      <c r="A808" s="2" t="n"/>
      <c r="B808" s="2" t="n"/>
      <c r="C808" s="2" t="n"/>
      <c r="D808" s="2" t="n"/>
      <c r="E808" s="2" t="n"/>
      <c r="F808" s="2" t="n"/>
      <c r="I808" s="2" t="n"/>
    </row>
    <row r="809" ht="15.75" customHeight="1" s="38">
      <c r="A809" s="2" t="n"/>
      <c r="B809" s="2" t="n"/>
      <c r="C809" s="2" t="n"/>
      <c r="D809" s="2" t="n"/>
      <c r="E809" s="2" t="n"/>
      <c r="F809" s="2" t="n"/>
      <c r="I809" s="2" t="n"/>
    </row>
    <row r="810" ht="15.75" customHeight="1" s="38">
      <c r="A810" s="2" t="n"/>
      <c r="B810" s="2" t="n"/>
      <c r="C810" s="2" t="n"/>
      <c r="D810" s="2" t="n"/>
      <c r="E810" s="2" t="n"/>
      <c r="F810" s="2" t="n"/>
      <c r="I810" s="2" t="n"/>
    </row>
    <row r="811" ht="15.75" customHeight="1" s="38">
      <c r="A811" s="2" t="n"/>
      <c r="B811" s="2" t="n"/>
      <c r="C811" s="2" t="n"/>
      <c r="D811" s="2" t="n"/>
      <c r="E811" s="2" t="n"/>
      <c r="F811" s="2" t="n"/>
      <c r="I811" s="2" t="n"/>
    </row>
    <row r="812" ht="15.75" customHeight="1" s="38">
      <c r="A812" s="2" t="n"/>
      <c r="B812" s="2" t="n"/>
      <c r="C812" s="2" t="n"/>
      <c r="D812" s="2" t="n"/>
      <c r="E812" s="2" t="n"/>
      <c r="F812" s="2" t="n"/>
      <c r="I812" s="2" t="n"/>
    </row>
    <row r="813" ht="15.75" customHeight="1" s="38">
      <c r="A813" s="2" t="n"/>
      <c r="B813" s="2" t="n"/>
      <c r="C813" s="2" t="n"/>
      <c r="D813" s="2" t="n"/>
      <c r="E813" s="2" t="n"/>
      <c r="F813" s="2" t="n"/>
      <c r="I813" s="2" t="n"/>
    </row>
    <row r="814" ht="15.75" customHeight="1" s="38">
      <c r="A814" s="2" t="n"/>
      <c r="B814" s="2" t="n"/>
      <c r="C814" s="2" t="n"/>
      <c r="D814" s="2" t="n"/>
      <c r="E814" s="2" t="n"/>
      <c r="F814" s="2" t="n"/>
      <c r="I814" s="2" t="n"/>
    </row>
    <row r="815" ht="15.75" customHeight="1" s="38">
      <c r="A815" s="2" t="n"/>
      <c r="B815" s="2" t="n"/>
      <c r="C815" s="2" t="n"/>
      <c r="D815" s="2" t="n"/>
      <c r="E815" s="2" t="n"/>
      <c r="F815" s="2" t="n"/>
      <c r="I815" s="2" t="n"/>
    </row>
    <row r="816" ht="15.75" customHeight="1" s="38">
      <c r="A816" s="2" t="n"/>
      <c r="B816" s="2" t="n"/>
      <c r="C816" s="2" t="n"/>
      <c r="D816" s="2" t="n"/>
      <c r="E816" s="2" t="n"/>
      <c r="F816" s="2" t="n"/>
      <c r="I816" s="2" t="n"/>
    </row>
    <row r="817" ht="15.75" customHeight="1" s="38">
      <c r="A817" s="2" t="n"/>
      <c r="B817" s="2" t="n"/>
      <c r="C817" s="2" t="n"/>
      <c r="D817" s="2" t="n"/>
      <c r="E817" s="2" t="n"/>
      <c r="F817" s="2" t="n"/>
      <c r="I817" s="2" t="n"/>
    </row>
    <row r="818" ht="15.75" customHeight="1" s="38">
      <c r="A818" s="2" t="n"/>
      <c r="B818" s="2" t="n"/>
      <c r="C818" s="2" t="n"/>
      <c r="D818" s="2" t="n"/>
      <c r="E818" s="2" t="n"/>
      <c r="F818" s="2" t="n"/>
      <c r="I818" s="2" t="n"/>
    </row>
    <row r="819" ht="15.75" customHeight="1" s="38">
      <c r="A819" s="2" t="n"/>
      <c r="B819" s="2" t="n"/>
      <c r="C819" s="2" t="n"/>
      <c r="D819" s="2" t="n"/>
      <c r="E819" s="2" t="n"/>
      <c r="F819" s="2" t="n"/>
      <c r="I819" s="2" t="n"/>
    </row>
    <row r="820" ht="15.75" customHeight="1" s="38">
      <c r="A820" s="2" t="n"/>
      <c r="B820" s="2" t="n"/>
      <c r="C820" s="2" t="n"/>
      <c r="D820" s="2" t="n"/>
      <c r="E820" s="2" t="n"/>
      <c r="F820" s="2" t="n"/>
      <c r="I820" s="2" t="n"/>
    </row>
    <row r="821" ht="15.75" customHeight="1" s="38">
      <c r="A821" s="2" t="n"/>
      <c r="B821" s="2" t="n"/>
      <c r="C821" s="2" t="n"/>
      <c r="D821" s="2" t="n"/>
      <c r="E821" s="2" t="n"/>
      <c r="F821" s="2" t="n"/>
      <c r="I821" s="2" t="n"/>
    </row>
    <row r="822" ht="15.75" customHeight="1" s="38">
      <c r="A822" s="2" t="n"/>
      <c r="B822" s="2" t="n"/>
      <c r="C822" s="2" t="n"/>
      <c r="D822" s="2" t="n"/>
      <c r="E822" s="2" t="n"/>
      <c r="F822" s="2" t="n"/>
      <c r="I822" s="2" t="n"/>
    </row>
    <row r="823" ht="15.75" customHeight="1" s="38">
      <c r="A823" s="2" t="n"/>
      <c r="B823" s="2" t="n"/>
      <c r="C823" s="2" t="n"/>
      <c r="D823" s="2" t="n"/>
      <c r="E823" s="2" t="n"/>
      <c r="F823" s="2" t="n"/>
      <c r="I823" s="2" t="n"/>
    </row>
    <row r="824" ht="15.75" customHeight="1" s="38">
      <c r="A824" s="2" t="n"/>
      <c r="B824" s="2" t="n"/>
      <c r="C824" s="2" t="n"/>
      <c r="D824" s="2" t="n"/>
      <c r="E824" s="2" t="n"/>
      <c r="F824" s="2" t="n"/>
      <c r="I824" s="2" t="n"/>
    </row>
    <row r="825" ht="15.75" customHeight="1" s="38">
      <c r="A825" s="2" t="n"/>
      <c r="B825" s="2" t="n"/>
      <c r="C825" s="2" t="n"/>
      <c r="D825" s="2" t="n"/>
      <c r="E825" s="2" t="n"/>
      <c r="F825" s="2" t="n"/>
      <c r="I825" s="2" t="n"/>
    </row>
    <row r="826" ht="15.75" customHeight="1" s="38">
      <c r="A826" s="2" t="n"/>
      <c r="B826" s="2" t="n"/>
      <c r="C826" s="2" t="n"/>
      <c r="D826" s="2" t="n"/>
      <c r="E826" s="2" t="n"/>
      <c r="F826" s="2" t="n"/>
      <c r="I826" s="2" t="n"/>
    </row>
    <row r="827" ht="15.75" customHeight="1" s="38">
      <c r="A827" s="2" t="n"/>
      <c r="B827" s="2" t="n"/>
      <c r="C827" s="2" t="n"/>
      <c r="D827" s="2" t="n"/>
      <c r="E827" s="2" t="n"/>
      <c r="F827" s="2" t="n"/>
      <c r="I827" s="2" t="n"/>
    </row>
    <row r="828" ht="15.75" customHeight="1" s="38">
      <c r="A828" s="2" t="n"/>
      <c r="B828" s="2" t="n"/>
      <c r="C828" s="2" t="n"/>
      <c r="D828" s="2" t="n"/>
      <c r="E828" s="2" t="n"/>
      <c r="F828" s="2" t="n"/>
      <c r="I828" s="2" t="n"/>
    </row>
    <row r="829" ht="15.75" customHeight="1" s="38">
      <c r="A829" s="2" t="n"/>
      <c r="B829" s="2" t="n"/>
      <c r="C829" s="2" t="n"/>
      <c r="D829" s="2" t="n"/>
      <c r="E829" s="2" t="n"/>
      <c r="F829" s="2" t="n"/>
      <c r="I829" s="2" t="n"/>
    </row>
    <row r="830" ht="15.75" customHeight="1" s="38">
      <c r="A830" s="2" t="n"/>
      <c r="B830" s="2" t="n"/>
      <c r="C830" s="2" t="n"/>
      <c r="D830" s="2" t="n"/>
      <c r="E830" s="2" t="n"/>
      <c r="F830" s="2" t="n"/>
      <c r="I830" s="2" t="n"/>
    </row>
    <row r="831" ht="15.75" customHeight="1" s="38">
      <c r="A831" s="2" t="n"/>
      <c r="B831" s="2" t="n"/>
      <c r="C831" s="2" t="n"/>
      <c r="D831" s="2" t="n"/>
      <c r="E831" s="2" t="n"/>
      <c r="F831" s="2" t="n"/>
      <c r="I831" s="2" t="n"/>
    </row>
    <row r="832" ht="15.75" customHeight="1" s="38">
      <c r="A832" s="2" t="n"/>
      <c r="B832" s="2" t="n"/>
      <c r="C832" s="2" t="n"/>
      <c r="D832" s="2" t="n"/>
      <c r="E832" s="2" t="n"/>
      <c r="F832" s="2" t="n"/>
      <c r="I832" s="2" t="n"/>
    </row>
    <row r="833" ht="15.75" customHeight="1" s="38">
      <c r="A833" s="2" t="n"/>
      <c r="B833" s="2" t="n"/>
      <c r="C833" s="2" t="n"/>
      <c r="D833" s="2" t="n"/>
      <c r="E833" s="2" t="n"/>
      <c r="F833" s="2" t="n"/>
      <c r="I833" s="2" t="n"/>
    </row>
    <row r="834" ht="15.75" customHeight="1" s="38">
      <c r="A834" s="2" t="n"/>
      <c r="B834" s="2" t="n"/>
      <c r="C834" s="2" t="n"/>
      <c r="D834" s="2" t="n"/>
      <c r="E834" s="2" t="n"/>
      <c r="F834" s="2" t="n"/>
      <c r="I834" s="2" t="n"/>
    </row>
    <row r="835" ht="15.75" customHeight="1" s="38">
      <c r="A835" s="2" t="n"/>
      <c r="B835" s="2" t="n"/>
      <c r="C835" s="2" t="n"/>
      <c r="D835" s="2" t="n"/>
      <c r="E835" s="2" t="n"/>
      <c r="F835" s="2" t="n"/>
      <c r="I835" s="2" t="n"/>
    </row>
    <row r="836" ht="15.75" customHeight="1" s="38">
      <c r="A836" s="2" t="n"/>
      <c r="B836" s="2" t="n"/>
      <c r="C836" s="2" t="n"/>
      <c r="D836" s="2" t="n"/>
      <c r="E836" s="2" t="n"/>
      <c r="F836" s="2" t="n"/>
      <c r="I836" s="2" t="n"/>
    </row>
    <row r="837" ht="15.75" customHeight="1" s="38">
      <c r="A837" s="2" t="n"/>
      <c r="B837" s="2" t="n"/>
      <c r="C837" s="2" t="n"/>
      <c r="D837" s="2" t="n"/>
      <c r="E837" s="2" t="n"/>
      <c r="F837" s="2" t="n"/>
      <c r="I837" s="2" t="n"/>
    </row>
    <row r="838" ht="15.75" customHeight="1" s="38">
      <c r="A838" s="2" t="n"/>
      <c r="B838" s="2" t="n"/>
      <c r="C838" s="2" t="n"/>
      <c r="D838" s="2" t="n"/>
      <c r="E838" s="2" t="n"/>
      <c r="F838" s="2" t="n"/>
      <c r="I838" s="2" t="n"/>
    </row>
    <row r="839" ht="15.75" customHeight="1" s="38">
      <c r="A839" s="2" t="n"/>
      <c r="B839" s="2" t="n"/>
      <c r="C839" s="2" t="n"/>
      <c r="D839" s="2" t="n"/>
      <c r="E839" s="2" t="n"/>
      <c r="F839" s="2" t="n"/>
      <c r="I839" s="2" t="n"/>
    </row>
    <row r="840" ht="15.75" customHeight="1" s="38">
      <c r="A840" s="2" t="n"/>
      <c r="B840" s="2" t="n"/>
      <c r="C840" s="2" t="n"/>
      <c r="D840" s="2" t="n"/>
      <c r="E840" s="2" t="n"/>
      <c r="F840" s="2" t="n"/>
      <c r="I840" s="2" t="n"/>
    </row>
    <row r="841" ht="15.75" customHeight="1" s="38">
      <c r="A841" s="2" t="n"/>
      <c r="B841" s="2" t="n"/>
      <c r="C841" s="2" t="n"/>
      <c r="D841" s="2" t="n"/>
      <c r="E841" s="2" t="n"/>
      <c r="F841" s="2" t="n"/>
      <c r="I841" s="2" t="n"/>
    </row>
    <row r="842" ht="15.75" customHeight="1" s="38">
      <c r="A842" s="2" t="n"/>
      <c r="B842" s="2" t="n"/>
      <c r="C842" s="2" t="n"/>
      <c r="D842" s="2" t="n"/>
      <c r="E842" s="2" t="n"/>
      <c r="F842" s="2" t="n"/>
      <c r="I842" s="2" t="n"/>
    </row>
    <row r="843" ht="15.75" customHeight="1" s="38">
      <c r="A843" s="2" t="n"/>
      <c r="B843" s="2" t="n"/>
      <c r="C843" s="2" t="n"/>
      <c r="D843" s="2" t="n"/>
      <c r="E843" s="2" t="n"/>
      <c r="F843" s="2" t="n"/>
      <c r="I843" s="2" t="n"/>
    </row>
    <row r="844" ht="15.75" customHeight="1" s="38">
      <c r="A844" s="2" t="n"/>
      <c r="B844" s="2" t="n"/>
      <c r="C844" s="2" t="n"/>
      <c r="D844" s="2" t="n"/>
      <c r="E844" s="2" t="n"/>
      <c r="F844" s="2" t="n"/>
      <c r="I844" s="2" t="n"/>
    </row>
    <row r="845" ht="15.75" customHeight="1" s="38">
      <c r="A845" s="2" t="n"/>
      <c r="B845" s="2" t="n"/>
      <c r="C845" s="2" t="n"/>
      <c r="D845" s="2" t="n"/>
      <c r="E845" s="2" t="n"/>
      <c r="F845" s="2" t="n"/>
      <c r="I845" s="2" t="n"/>
    </row>
    <row r="846" ht="15.75" customHeight="1" s="38">
      <c r="A846" s="2" t="n"/>
      <c r="B846" s="2" t="n"/>
      <c r="C846" s="2" t="n"/>
      <c r="D846" s="2" t="n"/>
      <c r="E846" s="2" t="n"/>
      <c r="F846" s="2" t="n"/>
      <c r="I846" s="2" t="n"/>
    </row>
    <row r="847" ht="15.75" customHeight="1" s="38">
      <c r="A847" s="2" t="n"/>
      <c r="B847" s="2" t="n"/>
      <c r="C847" s="2" t="n"/>
      <c r="D847" s="2" t="n"/>
      <c r="E847" s="2" t="n"/>
      <c r="F847" s="2" t="n"/>
      <c r="I847" s="2" t="n"/>
    </row>
    <row r="848" ht="15.75" customHeight="1" s="38">
      <c r="A848" s="2" t="n"/>
      <c r="B848" s="2" t="n"/>
      <c r="C848" s="2" t="n"/>
      <c r="D848" s="2" t="n"/>
      <c r="E848" s="2" t="n"/>
      <c r="F848" s="2" t="n"/>
      <c r="I848" s="2" t="n"/>
    </row>
    <row r="849" ht="15.75" customHeight="1" s="38">
      <c r="A849" s="2" t="n"/>
      <c r="B849" s="2" t="n"/>
      <c r="C849" s="2" t="n"/>
      <c r="D849" s="2" t="n"/>
      <c r="E849" s="2" t="n"/>
      <c r="F849" s="2" t="n"/>
      <c r="I849" s="2" t="n"/>
    </row>
    <row r="850" ht="15.75" customHeight="1" s="38">
      <c r="A850" s="2" t="n"/>
      <c r="B850" s="2" t="n"/>
      <c r="C850" s="2" t="n"/>
      <c r="D850" s="2" t="n"/>
      <c r="E850" s="2" t="n"/>
      <c r="F850" s="2" t="n"/>
      <c r="I850" s="2" t="n"/>
    </row>
    <row r="851" ht="15.75" customHeight="1" s="38">
      <c r="A851" s="2" t="n"/>
      <c r="B851" s="2" t="n"/>
      <c r="C851" s="2" t="n"/>
      <c r="D851" s="2" t="n"/>
      <c r="E851" s="2" t="n"/>
      <c r="F851" s="2" t="n"/>
      <c r="I851" s="2" t="n"/>
    </row>
    <row r="852" ht="15.75" customHeight="1" s="38">
      <c r="A852" s="2" t="n"/>
      <c r="B852" s="2" t="n"/>
      <c r="C852" s="2" t="n"/>
      <c r="D852" s="2" t="n"/>
      <c r="E852" s="2" t="n"/>
      <c r="F852" s="2" t="n"/>
      <c r="I852" s="2" t="n"/>
    </row>
    <row r="853" ht="15.75" customHeight="1" s="38">
      <c r="A853" s="2" t="n"/>
      <c r="B853" s="2" t="n"/>
      <c r="C853" s="2" t="n"/>
      <c r="D853" s="2" t="n"/>
      <c r="E853" s="2" t="n"/>
      <c r="F853" s="2" t="n"/>
      <c r="I853" s="2" t="n"/>
    </row>
    <row r="854" ht="15.75" customHeight="1" s="38">
      <c r="A854" s="2" t="n"/>
      <c r="B854" s="2" t="n"/>
      <c r="C854" s="2" t="n"/>
      <c r="D854" s="2" t="n"/>
      <c r="E854" s="2" t="n"/>
      <c r="F854" s="2" t="n"/>
      <c r="I854" s="2" t="n"/>
    </row>
    <row r="855" ht="15.75" customHeight="1" s="38">
      <c r="A855" s="2" t="n"/>
      <c r="B855" s="2" t="n"/>
      <c r="C855" s="2" t="n"/>
      <c r="D855" s="2" t="n"/>
      <c r="E855" s="2" t="n"/>
      <c r="F855" s="2" t="n"/>
      <c r="I855" s="2" t="n"/>
    </row>
    <row r="856" ht="15.75" customHeight="1" s="38">
      <c r="A856" s="2" t="n"/>
      <c r="B856" s="2" t="n"/>
      <c r="C856" s="2" t="n"/>
      <c r="D856" s="2" t="n"/>
      <c r="E856" s="2" t="n"/>
      <c r="F856" s="2" t="n"/>
      <c r="I856" s="2" t="n"/>
    </row>
    <row r="857" ht="15.75" customHeight="1" s="38">
      <c r="A857" s="2" t="n"/>
      <c r="B857" s="2" t="n"/>
      <c r="C857" s="2" t="n"/>
      <c r="D857" s="2" t="n"/>
      <c r="E857" s="2" t="n"/>
      <c r="F857" s="2" t="n"/>
      <c r="I857" s="2" t="n"/>
    </row>
    <row r="858" ht="15.75" customHeight="1" s="38">
      <c r="A858" s="2" t="n"/>
      <c r="B858" s="2" t="n"/>
      <c r="C858" s="2" t="n"/>
      <c r="D858" s="2" t="n"/>
      <c r="E858" s="2" t="n"/>
      <c r="F858" s="2" t="n"/>
      <c r="I858" s="2" t="n"/>
    </row>
    <row r="859" ht="15.75" customHeight="1" s="38">
      <c r="A859" s="2" t="n"/>
      <c r="B859" s="2" t="n"/>
      <c r="C859" s="2" t="n"/>
      <c r="D859" s="2" t="n"/>
      <c r="E859" s="2" t="n"/>
      <c r="F859" s="2" t="n"/>
      <c r="I859" s="2" t="n"/>
    </row>
    <row r="860" ht="15.75" customHeight="1" s="38">
      <c r="A860" s="2" t="n"/>
      <c r="B860" s="2" t="n"/>
      <c r="C860" s="2" t="n"/>
      <c r="D860" s="2" t="n"/>
      <c r="E860" s="2" t="n"/>
      <c r="F860" s="2" t="n"/>
      <c r="I860" s="2" t="n"/>
    </row>
    <row r="861" ht="15.75" customHeight="1" s="38">
      <c r="A861" s="2" t="n"/>
      <c r="B861" s="2" t="n"/>
      <c r="C861" s="2" t="n"/>
      <c r="D861" s="2" t="n"/>
      <c r="E861" s="2" t="n"/>
      <c r="F861" s="2" t="n"/>
      <c r="I861" s="2" t="n"/>
    </row>
    <row r="862" ht="15.75" customHeight="1" s="38">
      <c r="A862" s="2" t="n"/>
      <c r="B862" s="2" t="n"/>
      <c r="C862" s="2" t="n"/>
      <c r="D862" s="2" t="n"/>
      <c r="E862" s="2" t="n"/>
      <c r="F862" s="2" t="n"/>
      <c r="I862" s="2" t="n"/>
    </row>
    <row r="863" ht="15.75" customHeight="1" s="38">
      <c r="A863" s="2" t="n"/>
      <c r="B863" s="2" t="n"/>
      <c r="C863" s="2" t="n"/>
      <c r="D863" s="2" t="n"/>
      <c r="E863" s="2" t="n"/>
      <c r="F863" s="2" t="n"/>
      <c r="I863" s="2" t="n"/>
    </row>
    <row r="864" ht="15.75" customHeight="1" s="38">
      <c r="A864" s="2" t="n"/>
      <c r="B864" s="2" t="n"/>
      <c r="C864" s="2" t="n"/>
      <c r="D864" s="2" t="n"/>
      <c r="E864" s="2" t="n"/>
      <c r="F864" s="2" t="n"/>
      <c r="I864" s="2" t="n"/>
    </row>
    <row r="865" ht="15.75" customHeight="1" s="38">
      <c r="A865" s="2" t="n"/>
      <c r="B865" s="2" t="n"/>
      <c r="C865" s="2" t="n"/>
      <c r="D865" s="2" t="n"/>
      <c r="E865" s="2" t="n"/>
      <c r="F865" s="2" t="n"/>
      <c r="I865" s="2" t="n"/>
    </row>
    <row r="866" ht="15.75" customHeight="1" s="38">
      <c r="A866" s="2" t="n"/>
      <c r="B866" s="2" t="n"/>
      <c r="C866" s="2" t="n"/>
      <c r="D866" s="2" t="n"/>
      <c r="E866" s="2" t="n"/>
      <c r="F866" s="2" t="n"/>
      <c r="I866" s="2" t="n"/>
    </row>
    <row r="867" ht="15.75" customHeight="1" s="38">
      <c r="A867" s="2" t="n"/>
      <c r="B867" s="2" t="n"/>
      <c r="C867" s="2" t="n"/>
      <c r="D867" s="2" t="n"/>
      <c r="E867" s="2" t="n"/>
      <c r="F867" s="2" t="n"/>
      <c r="I867" s="2" t="n"/>
    </row>
    <row r="868" ht="15.75" customHeight="1" s="38">
      <c r="A868" s="2" t="n"/>
      <c r="B868" s="2" t="n"/>
      <c r="C868" s="2" t="n"/>
      <c r="D868" s="2" t="n"/>
      <c r="E868" s="2" t="n"/>
      <c r="F868" s="2" t="n"/>
      <c r="I868" s="2" t="n"/>
    </row>
    <row r="869" ht="15.75" customHeight="1" s="38">
      <c r="A869" s="2" t="n"/>
      <c r="B869" s="2" t="n"/>
      <c r="C869" s="2" t="n"/>
      <c r="D869" s="2" t="n"/>
      <c r="E869" s="2" t="n"/>
      <c r="F869" s="2" t="n"/>
      <c r="I869" s="2" t="n"/>
    </row>
    <row r="870" ht="15.75" customHeight="1" s="38">
      <c r="A870" s="2" t="n"/>
      <c r="B870" s="2" t="n"/>
      <c r="C870" s="2" t="n"/>
      <c r="D870" s="2" t="n"/>
      <c r="E870" s="2" t="n"/>
      <c r="F870" s="2" t="n"/>
      <c r="I870" s="2" t="n"/>
    </row>
    <row r="871" ht="15.75" customHeight="1" s="38">
      <c r="A871" s="2" t="n"/>
      <c r="B871" s="2" t="n"/>
      <c r="C871" s="2" t="n"/>
      <c r="D871" s="2" t="n"/>
      <c r="E871" s="2" t="n"/>
      <c r="F871" s="2" t="n"/>
      <c r="I871" s="2" t="n"/>
    </row>
    <row r="872" ht="15.75" customHeight="1" s="38">
      <c r="A872" s="2" t="n"/>
      <c r="B872" s="2" t="n"/>
      <c r="C872" s="2" t="n"/>
      <c r="D872" s="2" t="n"/>
      <c r="E872" s="2" t="n"/>
      <c r="F872" s="2" t="n"/>
      <c r="I872" s="2" t="n"/>
    </row>
    <row r="873" ht="15.75" customHeight="1" s="38">
      <c r="A873" s="2" t="n"/>
      <c r="B873" s="2" t="n"/>
      <c r="C873" s="2" t="n"/>
      <c r="D873" s="2" t="n"/>
      <c r="E873" s="2" t="n"/>
      <c r="F873" s="2" t="n"/>
      <c r="I873" s="2" t="n"/>
    </row>
    <row r="874" ht="15.75" customHeight="1" s="38">
      <c r="A874" s="2" t="n"/>
      <c r="B874" s="2" t="n"/>
      <c r="C874" s="2" t="n"/>
      <c r="D874" s="2" t="n"/>
      <c r="E874" s="2" t="n"/>
      <c r="F874" s="2" t="n"/>
      <c r="I874" s="2" t="n"/>
    </row>
    <row r="875" ht="15.75" customHeight="1" s="38">
      <c r="A875" s="2" t="n"/>
      <c r="B875" s="2" t="n"/>
      <c r="C875" s="2" t="n"/>
      <c r="D875" s="2" t="n"/>
      <c r="E875" s="2" t="n"/>
      <c r="F875" s="2" t="n"/>
      <c r="I875" s="2" t="n"/>
    </row>
    <row r="876" ht="15.75" customHeight="1" s="38">
      <c r="A876" s="2" t="n"/>
      <c r="B876" s="2" t="n"/>
      <c r="C876" s="2" t="n"/>
      <c r="D876" s="2" t="n"/>
      <c r="E876" s="2" t="n"/>
      <c r="F876" s="2" t="n"/>
      <c r="I876" s="2" t="n"/>
    </row>
    <row r="877" ht="15.75" customHeight="1" s="38">
      <c r="A877" s="2" t="n"/>
      <c r="B877" s="2" t="n"/>
      <c r="C877" s="2" t="n"/>
      <c r="D877" s="2" t="n"/>
      <c r="E877" s="2" t="n"/>
      <c r="F877" s="2" t="n"/>
      <c r="I877" s="2" t="n"/>
    </row>
    <row r="878" ht="15.75" customHeight="1" s="38">
      <c r="A878" s="2" t="n"/>
      <c r="B878" s="2" t="n"/>
      <c r="C878" s="2" t="n"/>
      <c r="D878" s="2" t="n"/>
      <c r="E878" s="2" t="n"/>
      <c r="F878" s="2" t="n"/>
      <c r="I878" s="2" t="n"/>
    </row>
    <row r="879" ht="15.75" customHeight="1" s="38">
      <c r="A879" s="2" t="n"/>
      <c r="B879" s="2" t="n"/>
      <c r="C879" s="2" t="n"/>
      <c r="D879" s="2" t="n"/>
      <c r="E879" s="2" t="n"/>
      <c r="F879" s="2" t="n"/>
      <c r="I879" s="2" t="n"/>
    </row>
    <row r="880" ht="15.75" customHeight="1" s="38">
      <c r="A880" s="2" t="n"/>
      <c r="B880" s="2" t="n"/>
      <c r="C880" s="2" t="n"/>
      <c r="D880" s="2" t="n"/>
      <c r="E880" s="2" t="n"/>
      <c r="F880" s="2" t="n"/>
      <c r="I880" s="2" t="n"/>
    </row>
    <row r="881" ht="15.75" customHeight="1" s="38">
      <c r="A881" s="2" t="n"/>
      <c r="B881" s="2" t="n"/>
      <c r="C881" s="2" t="n"/>
      <c r="D881" s="2" t="n"/>
      <c r="E881" s="2" t="n"/>
      <c r="F881" s="2" t="n"/>
      <c r="I881" s="2" t="n"/>
    </row>
    <row r="882" ht="15.75" customHeight="1" s="38">
      <c r="A882" s="2" t="n"/>
      <c r="B882" s="2" t="n"/>
      <c r="C882" s="2" t="n"/>
      <c r="D882" s="2" t="n"/>
      <c r="E882" s="2" t="n"/>
      <c r="F882" s="2" t="n"/>
      <c r="I882" s="2" t="n"/>
    </row>
    <row r="883" ht="15.75" customHeight="1" s="38">
      <c r="A883" s="2" t="n"/>
      <c r="B883" s="2" t="n"/>
      <c r="C883" s="2" t="n"/>
      <c r="D883" s="2" t="n"/>
      <c r="E883" s="2" t="n"/>
      <c r="F883" s="2" t="n"/>
      <c r="I883" s="2" t="n"/>
    </row>
    <row r="884" ht="15.75" customHeight="1" s="38">
      <c r="A884" s="2" t="n"/>
      <c r="B884" s="2" t="n"/>
      <c r="C884" s="2" t="n"/>
      <c r="D884" s="2" t="n"/>
      <c r="E884" s="2" t="n"/>
      <c r="F884" s="2" t="n"/>
      <c r="I884" s="2" t="n"/>
    </row>
    <row r="885" ht="15.75" customHeight="1" s="38">
      <c r="A885" s="2" t="n"/>
      <c r="B885" s="2" t="n"/>
      <c r="C885" s="2" t="n"/>
      <c r="D885" s="2" t="n"/>
      <c r="E885" s="2" t="n"/>
      <c r="F885" s="2" t="n"/>
      <c r="I885" s="2" t="n"/>
    </row>
    <row r="886" ht="15.75" customHeight="1" s="38">
      <c r="A886" s="2" t="n"/>
      <c r="B886" s="2" t="n"/>
      <c r="C886" s="2" t="n"/>
      <c r="D886" s="2" t="n"/>
      <c r="E886" s="2" t="n"/>
      <c r="F886" s="2" t="n"/>
      <c r="I886" s="2" t="n"/>
    </row>
    <row r="887" ht="15.75" customHeight="1" s="38">
      <c r="A887" s="2" t="n"/>
      <c r="B887" s="2" t="n"/>
      <c r="C887" s="2" t="n"/>
      <c r="D887" s="2" t="n"/>
      <c r="E887" s="2" t="n"/>
      <c r="F887" s="2" t="n"/>
      <c r="I887" s="2" t="n"/>
    </row>
    <row r="888" ht="15.75" customHeight="1" s="38">
      <c r="A888" s="2" t="n"/>
      <c r="B888" s="2" t="n"/>
      <c r="C888" s="2" t="n"/>
      <c r="D888" s="2" t="n"/>
      <c r="E888" s="2" t="n"/>
      <c r="F888" s="2" t="n"/>
      <c r="I888" s="2" t="n"/>
    </row>
    <row r="889" ht="15.75" customHeight="1" s="38">
      <c r="A889" s="2" t="n"/>
      <c r="B889" s="2" t="n"/>
      <c r="C889" s="2" t="n"/>
      <c r="D889" s="2" t="n"/>
      <c r="E889" s="2" t="n"/>
      <c r="F889" s="2" t="n"/>
      <c r="I889" s="2" t="n"/>
    </row>
    <row r="890" ht="15.75" customHeight="1" s="38">
      <c r="A890" s="2" t="n"/>
      <c r="B890" s="2" t="n"/>
      <c r="C890" s="2" t="n"/>
      <c r="D890" s="2" t="n"/>
      <c r="E890" s="2" t="n"/>
      <c r="F890" s="2" t="n"/>
      <c r="I890" s="2" t="n"/>
    </row>
    <row r="891" ht="15.75" customHeight="1" s="38">
      <c r="A891" s="2" t="n"/>
      <c r="B891" s="2" t="n"/>
      <c r="C891" s="2" t="n"/>
      <c r="D891" s="2" t="n"/>
      <c r="E891" s="2" t="n"/>
      <c r="F891" s="2" t="n"/>
      <c r="I891" s="2" t="n"/>
    </row>
    <row r="892" ht="15.75" customHeight="1" s="38">
      <c r="A892" s="2" t="n"/>
      <c r="B892" s="2" t="n"/>
      <c r="C892" s="2" t="n"/>
      <c r="D892" s="2" t="n"/>
      <c r="E892" s="2" t="n"/>
      <c r="F892" s="2" t="n"/>
      <c r="I892" s="2" t="n"/>
    </row>
    <row r="893" ht="15.75" customHeight="1" s="38">
      <c r="A893" s="2" t="n"/>
      <c r="B893" s="2" t="n"/>
      <c r="C893" s="2" t="n"/>
      <c r="D893" s="2" t="n"/>
      <c r="E893" s="2" t="n"/>
      <c r="F893" s="2" t="n"/>
      <c r="I893" s="2" t="n"/>
    </row>
    <row r="894" ht="15.75" customHeight="1" s="38">
      <c r="A894" s="2" t="n"/>
      <c r="B894" s="2" t="n"/>
      <c r="C894" s="2" t="n"/>
      <c r="D894" s="2" t="n"/>
      <c r="E894" s="2" t="n"/>
      <c r="F894" s="2" t="n"/>
      <c r="I894" s="2" t="n"/>
    </row>
    <row r="895" ht="15.75" customHeight="1" s="38">
      <c r="A895" s="2" t="n"/>
      <c r="B895" s="2" t="n"/>
      <c r="C895" s="2" t="n"/>
      <c r="D895" s="2" t="n"/>
      <c r="E895" s="2" t="n"/>
      <c r="F895" s="2" t="n"/>
      <c r="I895" s="2" t="n"/>
    </row>
    <row r="896" ht="15.75" customHeight="1" s="38">
      <c r="A896" s="2" t="n"/>
      <c r="B896" s="2" t="n"/>
      <c r="C896" s="2" t="n"/>
      <c r="D896" s="2" t="n"/>
      <c r="E896" s="2" t="n"/>
      <c r="F896" s="2" t="n"/>
      <c r="I896" s="2" t="n"/>
    </row>
    <row r="897" ht="15.75" customHeight="1" s="38">
      <c r="A897" s="2" t="n"/>
      <c r="B897" s="2" t="n"/>
      <c r="C897" s="2" t="n"/>
      <c r="D897" s="2" t="n"/>
      <c r="E897" s="2" t="n"/>
      <c r="F897" s="2" t="n"/>
      <c r="I897" s="2" t="n"/>
    </row>
    <row r="898" ht="15.75" customHeight="1" s="38">
      <c r="A898" s="2" t="n"/>
      <c r="B898" s="2" t="n"/>
      <c r="C898" s="2" t="n"/>
      <c r="D898" s="2" t="n"/>
      <c r="E898" s="2" t="n"/>
      <c r="F898" s="2" t="n"/>
      <c r="I898" s="2" t="n"/>
    </row>
    <row r="899" ht="15.75" customHeight="1" s="38">
      <c r="A899" s="2" t="n"/>
      <c r="B899" s="2" t="n"/>
      <c r="C899" s="2" t="n"/>
      <c r="D899" s="2" t="n"/>
      <c r="E899" s="2" t="n"/>
      <c r="F899" s="2" t="n"/>
      <c r="I899" s="2" t="n"/>
    </row>
    <row r="900" ht="15.75" customHeight="1" s="38">
      <c r="A900" s="2" t="n"/>
      <c r="B900" s="2" t="n"/>
      <c r="C900" s="2" t="n"/>
      <c r="D900" s="2" t="n"/>
      <c r="E900" s="2" t="n"/>
      <c r="F900" s="2" t="n"/>
      <c r="I900" s="2" t="n"/>
    </row>
    <row r="901" ht="15.75" customHeight="1" s="38">
      <c r="A901" s="2" t="n"/>
      <c r="B901" s="2" t="n"/>
      <c r="C901" s="2" t="n"/>
      <c r="D901" s="2" t="n"/>
      <c r="E901" s="2" t="n"/>
      <c r="F901" s="2" t="n"/>
      <c r="I901" s="2" t="n"/>
    </row>
    <row r="902" ht="15.75" customHeight="1" s="38">
      <c r="A902" s="2" t="n"/>
      <c r="B902" s="2" t="n"/>
      <c r="C902" s="2" t="n"/>
      <c r="D902" s="2" t="n"/>
      <c r="E902" s="2" t="n"/>
      <c r="F902" s="2" t="n"/>
      <c r="I902" s="2" t="n"/>
    </row>
    <row r="903" ht="15.75" customHeight="1" s="38">
      <c r="A903" s="2" t="n"/>
      <c r="B903" s="2" t="n"/>
      <c r="C903" s="2" t="n"/>
      <c r="D903" s="2" t="n"/>
      <c r="E903" s="2" t="n"/>
      <c r="F903" s="2" t="n"/>
      <c r="I903" s="2" t="n"/>
    </row>
    <row r="904" ht="15.75" customHeight="1" s="38">
      <c r="A904" s="2" t="n"/>
      <c r="B904" s="2" t="n"/>
      <c r="C904" s="2" t="n"/>
      <c r="D904" s="2" t="n"/>
      <c r="E904" s="2" t="n"/>
      <c r="F904" s="2" t="n"/>
      <c r="I904" s="2" t="n"/>
    </row>
    <row r="905" ht="15.75" customHeight="1" s="38">
      <c r="A905" s="2" t="n"/>
      <c r="B905" s="2" t="n"/>
      <c r="C905" s="2" t="n"/>
      <c r="D905" s="2" t="n"/>
      <c r="E905" s="2" t="n"/>
      <c r="F905" s="2" t="n"/>
      <c r="I905" s="2" t="n"/>
    </row>
    <row r="906" ht="15.75" customHeight="1" s="38">
      <c r="A906" s="2" t="n"/>
      <c r="B906" s="2" t="n"/>
      <c r="C906" s="2" t="n"/>
      <c r="D906" s="2" t="n"/>
      <c r="E906" s="2" t="n"/>
      <c r="F906" s="2" t="n"/>
      <c r="I906" s="2" t="n"/>
    </row>
    <row r="907" ht="15.75" customHeight="1" s="38">
      <c r="A907" s="2" t="n"/>
      <c r="B907" s="2" t="n"/>
      <c r="C907" s="2" t="n"/>
      <c r="D907" s="2" t="n"/>
      <c r="E907" s="2" t="n"/>
      <c r="F907" s="2" t="n"/>
      <c r="I907" s="2" t="n"/>
    </row>
    <row r="908" ht="15.75" customHeight="1" s="38">
      <c r="A908" s="2" t="n"/>
      <c r="B908" s="2" t="n"/>
      <c r="C908" s="2" t="n"/>
      <c r="D908" s="2" t="n"/>
      <c r="E908" s="2" t="n"/>
      <c r="F908" s="2" t="n"/>
      <c r="I908" s="2" t="n"/>
    </row>
    <row r="909" ht="15.75" customHeight="1" s="38">
      <c r="A909" s="2" t="n"/>
      <c r="B909" s="2" t="n"/>
      <c r="C909" s="2" t="n"/>
      <c r="D909" s="2" t="n"/>
      <c r="E909" s="2" t="n"/>
      <c r="F909" s="2" t="n"/>
      <c r="I909" s="2" t="n"/>
    </row>
    <row r="910" ht="15.75" customHeight="1" s="38">
      <c r="A910" s="2" t="n"/>
      <c r="B910" s="2" t="n"/>
      <c r="C910" s="2" t="n"/>
      <c r="D910" s="2" t="n"/>
      <c r="E910" s="2" t="n"/>
      <c r="F910" s="2" t="n"/>
      <c r="I910" s="2" t="n"/>
    </row>
    <row r="911" ht="15.75" customHeight="1" s="38">
      <c r="A911" s="2" t="n"/>
      <c r="B911" s="2" t="n"/>
      <c r="C911" s="2" t="n"/>
      <c r="D911" s="2" t="n"/>
      <c r="E911" s="2" t="n"/>
      <c r="F911" s="2" t="n"/>
      <c r="I911" s="2" t="n"/>
    </row>
    <row r="912" ht="15.75" customHeight="1" s="38">
      <c r="A912" s="2" t="n"/>
      <c r="B912" s="2" t="n"/>
      <c r="C912" s="2" t="n"/>
      <c r="D912" s="2" t="n"/>
      <c r="E912" s="2" t="n"/>
      <c r="F912" s="2" t="n"/>
      <c r="I912" s="2" t="n"/>
    </row>
    <row r="913" ht="15.75" customHeight="1" s="38">
      <c r="A913" s="2" t="n"/>
      <c r="B913" s="2" t="n"/>
      <c r="C913" s="2" t="n"/>
      <c r="D913" s="2" t="n"/>
      <c r="E913" s="2" t="n"/>
      <c r="F913" s="2" t="n"/>
      <c r="I913" s="2" t="n"/>
    </row>
    <row r="914" ht="15.75" customHeight="1" s="38">
      <c r="A914" s="2" t="n"/>
      <c r="B914" s="2" t="n"/>
      <c r="C914" s="2" t="n"/>
      <c r="D914" s="2" t="n"/>
      <c r="E914" s="2" t="n"/>
      <c r="F914" s="2" t="n"/>
      <c r="I914" s="2" t="n"/>
    </row>
    <row r="915" ht="15.75" customHeight="1" s="38">
      <c r="A915" s="2" t="n"/>
      <c r="B915" s="2" t="n"/>
      <c r="C915" s="2" t="n"/>
      <c r="D915" s="2" t="n"/>
      <c r="E915" s="2" t="n"/>
      <c r="F915" s="2" t="n"/>
      <c r="I915" s="2" t="n"/>
    </row>
    <row r="916" ht="15.75" customHeight="1" s="38">
      <c r="A916" s="2" t="n"/>
      <c r="B916" s="2" t="n"/>
      <c r="C916" s="2" t="n"/>
      <c r="D916" s="2" t="n"/>
      <c r="E916" s="2" t="n"/>
      <c r="F916" s="2" t="n"/>
      <c r="I916" s="2" t="n"/>
    </row>
    <row r="917" ht="15.75" customHeight="1" s="38">
      <c r="A917" s="2" t="n"/>
      <c r="B917" s="2" t="n"/>
      <c r="C917" s="2" t="n"/>
      <c r="D917" s="2" t="n"/>
      <c r="E917" s="2" t="n"/>
      <c r="F917" s="2" t="n"/>
      <c r="I917" s="2" t="n"/>
    </row>
    <row r="918" ht="15.75" customHeight="1" s="38">
      <c r="A918" s="2" t="n"/>
      <c r="B918" s="2" t="n"/>
      <c r="C918" s="2" t="n"/>
      <c r="D918" s="2" t="n"/>
      <c r="E918" s="2" t="n"/>
      <c r="F918" s="2" t="n"/>
      <c r="I918" s="2" t="n"/>
    </row>
    <row r="919" ht="15.75" customHeight="1" s="38">
      <c r="A919" s="2" t="n"/>
      <c r="B919" s="2" t="n"/>
      <c r="C919" s="2" t="n"/>
      <c r="D919" s="2" t="n"/>
      <c r="E919" s="2" t="n"/>
      <c r="F919" s="2" t="n"/>
      <c r="I919" s="2" t="n"/>
    </row>
    <row r="920" ht="15.75" customHeight="1" s="38">
      <c r="A920" s="2" t="n"/>
      <c r="B920" s="2" t="n"/>
      <c r="C920" s="2" t="n"/>
      <c r="D920" s="2" t="n"/>
      <c r="E920" s="2" t="n"/>
      <c r="F920" s="2" t="n"/>
      <c r="I920" s="2" t="n"/>
    </row>
    <row r="921" ht="15.75" customHeight="1" s="38">
      <c r="A921" s="2" t="n"/>
      <c r="B921" s="2" t="n"/>
      <c r="C921" s="2" t="n"/>
      <c r="D921" s="2" t="n"/>
      <c r="E921" s="2" t="n"/>
      <c r="F921" s="2" t="n"/>
      <c r="I921" s="2" t="n"/>
    </row>
    <row r="922" ht="15.75" customHeight="1" s="38">
      <c r="A922" s="2" t="n"/>
      <c r="B922" s="2" t="n"/>
      <c r="C922" s="2" t="n"/>
      <c r="D922" s="2" t="n"/>
      <c r="E922" s="2" t="n"/>
      <c r="F922" s="2" t="n"/>
      <c r="I922" s="2" t="n"/>
    </row>
    <row r="923" ht="15.75" customHeight="1" s="38">
      <c r="A923" s="2" t="n"/>
      <c r="B923" s="2" t="n"/>
      <c r="C923" s="2" t="n"/>
      <c r="D923" s="2" t="n"/>
      <c r="E923" s="2" t="n"/>
      <c r="F923" s="2" t="n"/>
      <c r="I923" s="2" t="n"/>
    </row>
    <row r="924" ht="15.75" customHeight="1" s="38">
      <c r="A924" s="2" t="n"/>
      <c r="B924" s="2" t="n"/>
      <c r="C924" s="2" t="n"/>
      <c r="D924" s="2" t="n"/>
      <c r="E924" s="2" t="n"/>
      <c r="F924" s="2" t="n"/>
      <c r="I924" s="2" t="n"/>
    </row>
    <row r="925" ht="15.75" customHeight="1" s="38">
      <c r="A925" s="2" t="n"/>
      <c r="B925" s="2" t="n"/>
      <c r="C925" s="2" t="n"/>
      <c r="D925" s="2" t="n"/>
      <c r="E925" s="2" t="n"/>
      <c r="F925" s="2" t="n"/>
      <c r="I925" s="2" t="n"/>
    </row>
    <row r="926" ht="15.75" customHeight="1" s="38">
      <c r="A926" s="2" t="n"/>
      <c r="B926" s="2" t="n"/>
      <c r="C926" s="2" t="n"/>
      <c r="D926" s="2" t="n"/>
      <c r="E926" s="2" t="n"/>
      <c r="F926" s="2" t="n"/>
      <c r="I926" s="2" t="n"/>
    </row>
    <row r="927" ht="15.75" customHeight="1" s="38">
      <c r="A927" s="2" t="n"/>
      <c r="B927" s="2" t="n"/>
      <c r="C927" s="2" t="n"/>
      <c r="D927" s="2" t="n"/>
      <c r="E927" s="2" t="n"/>
      <c r="F927" s="2" t="n"/>
      <c r="I927" s="2" t="n"/>
    </row>
    <row r="928" ht="15.75" customHeight="1" s="38">
      <c r="A928" s="2" t="n"/>
      <c r="B928" s="2" t="n"/>
      <c r="C928" s="2" t="n"/>
      <c r="D928" s="2" t="n"/>
      <c r="E928" s="2" t="n"/>
      <c r="F928" s="2" t="n"/>
      <c r="I928" s="2" t="n"/>
    </row>
    <row r="929" ht="15.75" customHeight="1" s="38">
      <c r="A929" s="2" t="n"/>
      <c r="B929" s="2" t="n"/>
      <c r="C929" s="2" t="n"/>
      <c r="D929" s="2" t="n"/>
      <c r="E929" s="2" t="n"/>
      <c r="F929" s="2" t="n"/>
      <c r="I929" s="2" t="n"/>
    </row>
    <row r="930" ht="15.75" customHeight="1" s="38">
      <c r="A930" s="2" t="n"/>
      <c r="B930" s="2" t="n"/>
      <c r="C930" s="2" t="n"/>
      <c r="D930" s="2" t="n"/>
      <c r="E930" s="2" t="n"/>
      <c r="F930" s="2" t="n"/>
      <c r="I930" s="2" t="n"/>
    </row>
    <row r="931" ht="15.75" customHeight="1" s="38">
      <c r="A931" s="2" t="n"/>
      <c r="B931" s="2" t="n"/>
      <c r="C931" s="2" t="n"/>
      <c r="D931" s="2" t="n"/>
      <c r="E931" s="2" t="n"/>
      <c r="F931" s="2" t="n"/>
      <c r="I931" s="2" t="n"/>
    </row>
    <row r="932" ht="15.75" customHeight="1" s="38">
      <c r="A932" s="2" t="n"/>
      <c r="B932" s="2" t="n"/>
      <c r="C932" s="2" t="n"/>
      <c r="D932" s="2" t="n"/>
      <c r="E932" s="2" t="n"/>
      <c r="F932" s="2" t="n"/>
      <c r="I932" s="2" t="n"/>
    </row>
    <row r="933" ht="15.75" customHeight="1" s="38">
      <c r="A933" s="2" t="n"/>
      <c r="B933" s="2" t="n"/>
      <c r="C933" s="2" t="n"/>
      <c r="D933" s="2" t="n"/>
      <c r="E933" s="2" t="n"/>
      <c r="F933" s="2" t="n"/>
      <c r="I933" s="2" t="n"/>
    </row>
    <row r="934" ht="15.75" customHeight="1" s="38">
      <c r="A934" s="2" t="n"/>
      <c r="B934" s="2" t="n"/>
      <c r="C934" s="2" t="n"/>
      <c r="D934" s="2" t="n"/>
      <c r="E934" s="2" t="n"/>
      <c r="F934" s="2" t="n"/>
      <c r="I934" s="2" t="n"/>
    </row>
    <row r="935" ht="15.75" customHeight="1" s="38">
      <c r="A935" s="2" t="n"/>
      <c r="B935" s="2" t="n"/>
      <c r="C935" s="2" t="n"/>
      <c r="D935" s="2" t="n"/>
      <c r="E935" s="2" t="n"/>
      <c r="F935" s="2" t="n"/>
      <c r="I935" s="2" t="n"/>
    </row>
    <row r="936" ht="15.75" customHeight="1" s="38">
      <c r="A936" s="2" t="n"/>
      <c r="B936" s="2" t="n"/>
      <c r="C936" s="2" t="n"/>
      <c r="D936" s="2" t="n"/>
      <c r="E936" s="2" t="n"/>
      <c r="F936" s="2" t="n"/>
      <c r="I936" s="2" t="n"/>
    </row>
    <row r="937" ht="15.75" customHeight="1" s="38">
      <c r="A937" s="2" t="n"/>
      <c r="B937" s="2" t="n"/>
      <c r="C937" s="2" t="n"/>
      <c r="D937" s="2" t="n"/>
      <c r="E937" s="2" t="n"/>
      <c r="F937" s="2" t="n"/>
      <c r="I937" s="2" t="n"/>
    </row>
    <row r="938" ht="15.75" customHeight="1" s="38">
      <c r="A938" s="2" t="n"/>
      <c r="B938" s="2" t="n"/>
      <c r="C938" s="2" t="n"/>
      <c r="D938" s="2" t="n"/>
      <c r="E938" s="2" t="n"/>
      <c r="F938" s="2" t="n"/>
      <c r="I938" s="2" t="n"/>
    </row>
    <row r="939" ht="15.75" customHeight="1" s="38">
      <c r="A939" s="2" t="n"/>
      <c r="B939" s="2" t="n"/>
      <c r="C939" s="2" t="n"/>
      <c r="D939" s="2" t="n"/>
      <c r="E939" s="2" t="n"/>
      <c r="F939" s="2" t="n"/>
      <c r="I939" s="2" t="n"/>
    </row>
    <row r="940" ht="15.75" customHeight="1" s="38">
      <c r="A940" s="2" t="n"/>
      <c r="B940" s="2" t="n"/>
      <c r="C940" s="2" t="n"/>
      <c r="D940" s="2" t="n"/>
      <c r="E940" s="2" t="n"/>
      <c r="F940" s="2" t="n"/>
      <c r="I940" s="2" t="n"/>
    </row>
    <row r="941" ht="15.75" customHeight="1" s="38">
      <c r="A941" s="2" t="n"/>
      <c r="B941" s="2" t="n"/>
      <c r="C941" s="2" t="n"/>
      <c r="D941" s="2" t="n"/>
      <c r="E941" s="2" t="n"/>
      <c r="F941" s="2" t="n"/>
      <c r="I941" s="2" t="n"/>
    </row>
    <row r="942" ht="15.75" customHeight="1" s="38">
      <c r="A942" s="2" t="n"/>
      <c r="B942" s="2" t="n"/>
      <c r="C942" s="2" t="n"/>
      <c r="D942" s="2" t="n"/>
      <c r="E942" s="2" t="n"/>
      <c r="F942" s="2" t="n"/>
      <c r="I942" s="2" t="n"/>
    </row>
    <row r="943" ht="15.75" customHeight="1" s="38">
      <c r="A943" s="2" t="n"/>
      <c r="B943" s="2" t="n"/>
      <c r="C943" s="2" t="n"/>
      <c r="D943" s="2" t="n"/>
      <c r="E943" s="2" t="n"/>
      <c r="F943" s="2" t="n"/>
      <c r="I943" s="2" t="n"/>
    </row>
    <row r="944" ht="15.75" customHeight="1" s="38">
      <c r="A944" s="2" t="n"/>
      <c r="B944" s="2" t="n"/>
      <c r="C944" s="2" t="n"/>
      <c r="D944" s="2" t="n"/>
      <c r="E944" s="2" t="n"/>
      <c r="F944" s="2" t="n"/>
      <c r="I944" s="2" t="n"/>
    </row>
    <row r="945" ht="15.75" customHeight="1" s="38">
      <c r="A945" s="2" t="n"/>
      <c r="B945" s="2" t="n"/>
      <c r="C945" s="2" t="n"/>
      <c r="D945" s="2" t="n"/>
      <c r="E945" s="2" t="n"/>
      <c r="F945" s="2" t="n"/>
      <c r="I945" s="2" t="n"/>
    </row>
    <row r="946" ht="15.75" customHeight="1" s="38">
      <c r="A946" s="2" t="n"/>
      <c r="B946" s="2" t="n"/>
      <c r="C946" s="2" t="n"/>
      <c r="D946" s="2" t="n"/>
      <c r="E946" s="2" t="n"/>
      <c r="F946" s="2" t="n"/>
      <c r="I946" s="2" t="n"/>
    </row>
    <row r="947" ht="15.75" customHeight="1" s="38">
      <c r="A947" s="2" t="n"/>
      <c r="B947" s="2" t="n"/>
      <c r="C947" s="2" t="n"/>
      <c r="D947" s="2" t="n"/>
      <c r="E947" s="2" t="n"/>
      <c r="F947" s="2" t="n"/>
      <c r="I947" s="2" t="n"/>
    </row>
    <row r="948" ht="15.75" customHeight="1" s="38">
      <c r="A948" s="2" t="n"/>
      <c r="B948" s="2" t="n"/>
      <c r="C948" s="2" t="n"/>
      <c r="D948" s="2" t="n"/>
      <c r="E948" s="2" t="n"/>
      <c r="F948" s="2" t="n"/>
      <c r="I948" s="2" t="n"/>
    </row>
    <row r="949" ht="15.75" customHeight="1" s="38">
      <c r="A949" s="2" t="n"/>
      <c r="B949" s="2" t="n"/>
      <c r="C949" s="2" t="n"/>
      <c r="D949" s="2" t="n"/>
      <c r="E949" s="2" t="n"/>
      <c r="F949" s="2" t="n"/>
      <c r="I949" s="2" t="n"/>
    </row>
    <row r="950" ht="15.75" customHeight="1" s="38">
      <c r="A950" s="2" t="n"/>
      <c r="B950" s="2" t="n"/>
      <c r="C950" s="2" t="n"/>
      <c r="D950" s="2" t="n"/>
      <c r="E950" s="2" t="n"/>
      <c r="F950" s="2" t="n"/>
      <c r="I950" s="2" t="n"/>
    </row>
    <row r="951" ht="15.75" customHeight="1" s="38">
      <c r="A951" s="2" t="n"/>
      <c r="B951" s="2" t="n"/>
      <c r="C951" s="2" t="n"/>
      <c r="D951" s="2" t="n"/>
      <c r="E951" s="2" t="n"/>
      <c r="F951" s="2" t="n"/>
      <c r="I951" s="2" t="n"/>
    </row>
    <row r="952" ht="15.75" customHeight="1" s="38">
      <c r="A952" s="2" t="n"/>
      <c r="B952" s="2" t="n"/>
      <c r="C952" s="2" t="n"/>
      <c r="D952" s="2" t="n"/>
      <c r="E952" s="2" t="n"/>
      <c r="F952" s="2" t="n"/>
      <c r="I952" s="2" t="n"/>
    </row>
    <row r="953" ht="15.75" customHeight="1" s="38">
      <c r="A953" s="2" t="n"/>
      <c r="B953" s="2" t="n"/>
      <c r="C953" s="2" t="n"/>
      <c r="D953" s="2" t="n"/>
      <c r="E953" s="2" t="n"/>
      <c r="F953" s="2" t="n"/>
      <c r="I953" s="2" t="n"/>
    </row>
    <row r="954" ht="15.75" customHeight="1" s="38">
      <c r="A954" s="2" t="n"/>
      <c r="B954" s="2" t="n"/>
      <c r="C954" s="2" t="n"/>
      <c r="D954" s="2" t="n"/>
      <c r="E954" s="2" t="n"/>
      <c r="F954" s="2" t="n"/>
      <c r="I954" s="2" t="n"/>
    </row>
    <row r="955" ht="15.75" customHeight="1" s="38">
      <c r="A955" s="2" t="n"/>
      <c r="B955" s="2" t="n"/>
      <c r="C955" s="2" t="n"/>
      <c r="D955" s="2" t="n"/>
      <c r="E955" s="2" t="n"/>
      <c r="F955" s="2" t="n"/>
      <c r="I955" s="2" t="n"/>
    </row>
    <row r="956" ht="15.75" customHeight="1" s="38">
      <c r="A956" s="2" t="n"/>
      <c r="B956" s="2" t="n"/>
      <c r="C956" s="2" t="n"/>
      <c r="D956" s="2" t="n"/>
      <c r="E956" s="2" t="n"/>
      <c r="F956" s="2" t="n"/>
      <c r="I956" s="2" t="n"/>
    </row>
    <row r="957" ht="15.75" customHeight="1" s="38">
      <c r="A957" s="2" t="n"/>
      <c r="B957" s="2" t="n"/>
      <c r="C957" s="2" t="n"/>
      <c r="D957" s="2" t="n"/>
      <c r="E957" s="2" t="n"/>
      <c r="F957" s="2" t="n"/>
      <c r="I957" s="2" t="n"/>
    </row>
    <row r="958" ht="15.75" customHeight="1" s="38">
      <c r="A958" s="2" t="n"/>
      <c r="B958" s="2" t="n"/>
      <c r="C958" s="2" t="n"/>
      <c r="D958" s="2" t="n"/>
      <c r="E958" s="2" t="n"/>
      <c r="F958" s="2" t="n"/>
      <c r="I958" s="2" t="n"/>
    </row>
    <row r="959" ht="15.75" customHeight="1" s="38">
      <c r="A959" s="2" t="n"/>
      <c r="B959" s="2" t="n"/>
      <c r="C959" s="2" t="n"/>
      <c r="D959" s="2" t="n"/>
      <c r="E959" s="2" t="n"/>
      <c r="F959" s="2" t="n"/>
      <c r="I959" s="2" t="n"/>
    </row>
    <row r="960" ht="15.75" customHeight="1" s="38">
      <c r="A960" s="2" t="n"/>
      <c r="B960" s="2" t="n"/>
      <c r="C960" s="2" t="n"/>
      <c r="D960" s="2" t="n"/>
      <c r="E960" s="2" t="n"/>
      <c r="F960" s="2" t="n"/>
      <c r="I960" s="2" t="n"/>
    </row>
    <row r="961" ht="15.75" customHeight="1" s="38">
      <c r="A961" s="2" t="n"/>
      <c r="B961" s="2" t="n"/>
      <c r="C961" s="2" t="n"/>
      <c r="D961" s="2" t="n"/>
      <c r="E961" s="2" t="n"/>
      <c r="F961" s="2" t="n"/>
      <c r="I961" s="2" t="n"/>
    </row>
    <row r="962" ht="15.75" customHeight="1" s="38">
      <c r="A962" s="2" t="n"/>
      <c r="B962" s="2" t="n"/>
      <c r="C962" s="2" t="n"/>
      <c r="D962" s="2" t="n"/>
      <c r="E962" s="2" t="n"/>
      <c r="F962" s="2" t="n"/>
      <c r="I962" s="2" t="n"/>
    </row>
    <row r="963" ht="15.75" customHeight="1" s="38">
      <c r="A963" s="2" t="n"/>
      <c r="B963" s="2" t="n"/>
      <c r="C963" s="2" t="n"/>
      <c r="D963" s="2" t="n"/>
      <c r="E963" s="2" t="n"/>
      <c r="F963" s="2" t="n"/>
      <c r="I963" s="2" t="n"/>
    </row>
    <row r="964" ht="15.75" customHeight="1" s="38">
      <c r="A964" s="2" t="n"/>
      <c r="B964" s="2" t="n"/>
      <c r="C964" s="2" t="n"/>
      <c r="D964" s="2" t="n"/>
      <c r="E964" s="2" t="n"/>
      <c r="F964" s="2" t="n"/>
      <c r="I964" s="2" t="n"/>
    </row>
    <row r="965" ht="15.75" customHeight="1" s="38">
      <c r="A965" s="2" t="n"/>
      <c r="B965" s="2" t="n"/>
      <c r="C965" s="2" t="n"/>
      <c r="D965" s="2" t="n"/>
      <c r="E965" s="2" t="n"/>
      <c r="F965" s="2" t="n"/>
      <c r="I965" s="2" t="n"/>
    </row>
    <row r="966" ht="15.75" customHeight="1" s="38">
      <c r="A966" s="2" t="n"/>
      <c r="B966" s="2" t="n"/>
      <c r="C966" s="2" t="n"/>
      <c r="D966" s="2" t="n"/>
      <c r="E966" s="2" t="n"/>
      <c r="F966" s="2" t="n"/>
      <c r="I966" s="2" t="n"/>
    </row>
    <row r="967" ht="15.75" customHeight="1" s="38">
      <c r="A967" s="2" t="n"/>
      <c r="B967" s="2" t="n"/>
      <c r="C967" s="2" t="n"/>
      <c r="D967" s="2" t="n"/>
      <c r="E967" s="2" t="n"/>
      <c r="F967" s="2" t="n"/>
      <c r="I967" s="2" t="n"/>
    </row>
    <row r="968" ht="15.75" customHeight="1" s="38">
      <c r="A968" s="2" t="n"/>
      <c r="B968" s="2" t="n"/>
      <c r="C968" s="2" t="n"/>
      <c r="D968" s="2" t="n"/>
      <c r="E968" s="2" t="n"/>
      <c r="F968" s="2" t="n"/>
      <c r="I968" s="2" t="n"/>
    </row>
    <row r="969" ht="15.75" customHeight="1" s="38">
      <c r="A969" s="2" t="n"/>
      <c r="B969" s="2" t="n"/>
      <c r="C969" s="2" t="n"/>
      <c r="D969" s="2" t="n"/>
      <c r="E969" s="2" t="n"/>
      <c r="F969" s="2" t="n"/>
      <c r="I969" s="2" t="n"/>
    </row>
    <row r="970" ht="15.75" customHeight="1" s="38">
      <c r="A970" s="2" t="n"/>
      <c r="B970" s="2" t="n"/>
      <c r="C970" s="2" t="n"/>
      <c r="D970" s="2" t="n"/>
      <c r="E970" s="2" t="n"/>
      <c r="F970" s="2" t="n"/>
      <c r="I970" s="2" t="n"/>
    </row>
    <row r="971" ht="15.75" customHeight="1" s="38">
      <c r="A971" s="2" t="n"/>
      <c r="B971" s="2" t="n"/>
      <c r="C971" s="2" t="n"/>
      <c r="D971" s="2" t="n"/>
      <c r="E971" s="2" t="n"/>
      <c r="F971" s="2" t="n"/>
      <c r="I971" s="2" t="n"/>
    </row>
    <row r="972" ht="15.75" customHeight="1" s="38">
      <c r="A972" s="2" t="n"/>
      <c r="B972" s="2" t="n"/>
      <c r="C972" s="2" t="n"/>
      <c r="D972" s="2" t="n"/>
      <c r="E972" s="2" t="n"/>
      <c r="F972" s="2" t="n"/>
      <c r="I972" s="2" t="n"/>
    </row>
    <row r="973" ht="15.75" customHeight="1" s="38">
      <c r="A973" s="2" t="n"/>
      <c r="B973" s="2" t="n"/>
      <c r="C973" s="2" t="n"/>
      <c r="D973" s="2" t="n"/>
      <c r="E973" s="2" t="n"/>
      <c r="F973" s="2" t="n"/>
      <c r="I973" s="2" t="n"/>
    </row>
    <row r="974" ht="15.75" customHeight="1" s="38">
      <c r="A974" s="2" t="n"/>
      <c r="B974" s="2" t="n"/>
      <c r="C974" s="2" t="n"/>
      <c r="D974" s="2" t="n"/>
      <c r="E974" s="2" t="n"/>
      <c r="F974" s="2" t="n"/>
      <c r="I974" s="2" t="n"/>
    </row>
    <row r="975" ht="15.75" customHeight="1" s="38">
      <c r="A975" s="2" t="n"/>
      <c r="B975" s="2" t="n"/>
      <c r="C975" s="2" t="n"/>
      <c r="D975" s="2" t="n"/>
      <c r="E975" s="2" t="n"/>
      <c r="F975" s="2" t="n"/>
      <c r="I975" s="2" t="n"/>
    </row>
    <row r="976" ht="15.75" customHeight="1" s="38">
      <c r="A976" s="2" t="n"/>
      <c r="B976" s="2" t="n"/>
      <c r="C976" s="2" t="n"/>
      <c r="D976" s="2" t="n"/>
      <c r="E976" s="2" t="n"/>
      <c r="F976" s="2" t="n"/>
      <c r="I976" s="2" t="n"/>
    </row>
    <row r="977" ht="15.75" customHeight="1" s="38">
      <c r="A977" s="2" t="n"/>
      <c r="B977" s="2" t="n"/>
      <c r="C977" s="2" t="n"/>
      <c r="D977" s="2" t="n"/>
      <c r="E977" s="2" t="n"/>
      <c r="F977" s="2" t="n"/>
      <c r="I977" s="2" t="n"/>
    </row>
    <row r="978" ht="15.75" customHeight="1" s="38">
      <c r="A978" s="2" t="n"/>
      <c r="B978" s="2" t="n"/>
      <c r="C978" s="2" t="n"/>
      <c r="D978" s="2" t="n"/>
      <c r="E978" s="2" t="n"/>
      <c r="F978" s="2" t="n"/>
      <c r="I978" s="2" t="n"/>
    </row>
    <row r="979" ht="15.75" customHeight="1" s="38">
      <c r="A979" s="2" t="n"/>
      <c r="B979" s="2" t="n"/>
      <c r="C979" s="2" t="n"/>
      <c r="D979" s="2" t="n"/>
      <c r="E979" s="2" t="n"/>
      <c r="F979" s="2" t="n"/>
      <c r="I979" s="2" t="n"/>
    </row>
    <row r="980" ht="15.75" customHeight="1" s="38">
      <c r="A980" s="2" t="n"/>
      <c r="B980" s="2" t="n"/>
      <c r="C980" s="2" t="n"/>
      <c r="D980" s="2" t="n"/>
      <c r="E980" s="2" t="n"/>
      <c r="F980" s="2" t="n"/>
      <c r="I980" s="2" t="n"/>
    </row>
    <row r="981" ht="15.75" customHeight="1" s="38">
      <c r="A981" s="2" t="n"/>
      <c r="B981" s="2" t="n"/>
      <c r="C981" s="2" t="n"/>
      <c r="D981" s="2" t="n"/>
      <c r="E981" s="2" t="n"/>
      <c r="F981" s="2" t="n"/>
      <c r="I981" s="2" t="n"/>
    </row>
    <row r="982" ht="15.75" customHeight="1" s="38">
      <c r="A982" s="2" t="n"/>
      <c r="B982" s="2" t="n"/>
      <c r="C982" s="2" t="n"/>
      <c r="D982" s="2" t="n"/>
      <c r="E982" s="2" t="n"/>
      <c r="F982" s="2" t="n"/>
      <c r="I982" s="2" t="n"/>
    </row>
    <row r="983" ht="15.75" customHeight="1" s="38">
      <c r="A983" s="2" t="n"/>
      <c r="B983" s="2" t="n"/>
      <c r="C983" s="2" t="n"/>
      <c r="D983" s="2" t="n"/>
      <c r="E983" s="2" t="n"/>
      <c r="F983" s="2" t="n"/>
      <c r="I983" s="2" t="n"/>
    </row>
    <row r="984" ht="15.75" customHeight="1" s="38">
      <c r="A984" s="2" t="n"/>
      <c r="B984" s="2" t="n"/>
      <c r="C984" s="2" t="n"/>
      <c r="D984" s="2" t="n"/>
      <c r="E984" s="2" t="n"/>
      <c r="F984" s="2" t="n"/>
      <c r="I984" s="2" t="n"/>
    </row>
    <row r="985" ht="15.75" customHeight="1" s="38">
      <c r="A985" s="2" t="n"/>
      <c r="B985" s="2" t="n"/>
      <c r="C985" s="2" t="n"/>
      <c r="D985" s="2" t="n"/>
      <c r="E985" s="2" t="n"/>
      <c r="F985" s="2" t="n"/>
      <c r="I985" s="2" t="n"/>
    </row>
    <row r="986" ht="15.75" customHeight="1" s="38">
      <c r="A986" s="2" t="n"/>
      <c r="B986" s="2" t="n"/>
      <c r="C986" s="2" t="n"/>
      <c r="D986" s="2" t="n"/>
      <c r="E986" s="2" t="n"/>
      <c r="F986" s="2" t="n"/>
      <c r="I986" s="2" t="n"/>
    </row>
    <row r="987" ht="15.75" customHeight="1" s="38">
      <c r="A987" s="2" t="n"/>
      <c r="B987" s="2" t="n"/>
      <c r="C987" s="2" t="n"/>
      <c r="D987" s="2" t="n"/>
      <c r="E987" s="2" t="n"/>
      <c r="F987" s="2" t="n"/>
      <c r="I987" s="2" t="n"/>
    </row>
    <row r="988" ht="15.75" customHeight="1" s="38">
      <c r="A988" s="2" t="n"/>
      <c r="B988" s="2" t="n"/>
      <c r="C988" s="2" t="n"/>
      <c r="D988" s="2" t="n"/>
      <c r="E988" s="2" t="n"/>
      <c r="F988" s="2" t="n"/>
      <c r="I988" s="2" t="n"/>
    </row>
    <row r="989" ht="15.75" customHeight="1" s="38">
      <c r="A989" s="2" t="n"/>
      <c r="B989" s="2" t="n"/>
      <c r="C989" s="2" t="n"/>
      <c r="D989" s="2" t="n"/>
      <c r="E989" s="2" t="n"/>
      <c r="F989" s="2" t="n"/>
      <c r="I989" s="2" t="n"/>
    </row>
    <row r="990" ht="15.75" customHeight="1" s="38">
      <c r="A990" s="2" t="n"/>
      <c r="B990" s="2" t="n"/>
      <c r="C990" s="2" t="n"/>
      <c r="D990" s="2" t="n"/>
      <c r="E990" s="2" t="n"/>
      <c r="F990" s="2" t="n"/>
      <c r="I990" s="2" t="n"/>
    </row>
    <row r="991" ht="15.75" customHeight="1" s="38">
      <c r="A991" s="2" t="n"/>
      <c r="B991" s="2" t="n"/>
      <c r="C991" s="2" t="n"/>
      <c r="D991" s="2" t="n"/>
      <c r="E991" s="2" t="n"/>
      <c r="F991" s="2" t="n"/>
      <c r="I991" s="2" t="n"/>
    </row>
    <row r="992" ht="15.75" customHeight="1" s="38">
      <c r="A992" s="2" t="n"/>
      <c r="B992" s="2" t="n"/>
      <c r="C992" s="2" t="n"/>
      <c r="D992" s="2" t="n"/>
      <c r="E992" s="2" t="n"/>
      <c r="F992" s="2" t="n"/>
      <c r="I992" s="2" t="n"/>
    </row>
    <row r="993" ht="15.75" customHeight="1" s="38">
      <c r="A993" s="2" t="n"/>
      <c r="B993" s="2" t="n"/>
      <c r="C993" s="2" t="n"/>
      <c r="D993" s="2" t="n"/>
      <c r="E993" s="2" t="n"/>
      <c r="F993" s="2" t="n"/>
      <c r="I993" s="2" t="n"/>
    </row>
    <row r="994" ht="15.75" customHeight="1" s="38">
      <c r="A994" s="2" t="n"/>
      <c r="B994" s="2" t="n"/>
      <c r="C994" s="2" t="n"/>
      <c r="D994" s="2" t="n"/>
      <c r="E994" s="2" t="n"/>
      <c r="F994" s="2" t="n"/>
      <c r="I994" s="2" t="n"/>
    </row>
    <row r="995" ht="15.75" customHeight="1" s="38">
      <c r="A995" s="2" t="n"/>
      <c r="B995" s="2" t="n"/>
      <c r="C995" s="2" t="n"/>
      <c r="D995" s="2" t="n"/>
      <c r="E995" s="2" t="n"/>
      <c r="F995" s="2" t="n"/>
      <c r="I995" s="2" t="n"/>
    </row>
    <row r="996" ht="15.75" customHeight="1" s="38">
      <c r="A996" s="2" t="n"/>
      <c r="B996" s="2" t="n"/>
      <c r="C996" s="2" t="n"/>
      <c r="D996" s="2" t="n"/>
      <c r="E996" s="2" t="n"/>
      <c r="F996" s="2" t="n"/>
      <c r="I996" s="2" t="n"/>
    </row>
    <row r="997" ht="15.75" customHeight="1" s="38">
      <c r="A997" s="2" t="n"/>
      <c r="B997" s="2" t="n"/>
      <c r="C997" s="2" t="n"/>
      <c r="D997" s="2" t="n"/>
      <c r="E997" s="2" t="n"/>
      <c r="F997" s="2" t="n"/>
      <c r="I997" s="2" t="n"/>
    </row>
    <row r="998" ht="15.75" customHeight="1" s="38">
      <c r="A998" s="2" t="n"/>
      <c r="B998" s="2" t="n"/>
      <c r="C998" s="2" t="n"/>
      <c r="D998" s="2" t="n"/>
      <c r="E998" s="2" t="n"/>
      <c r="F998" s="2" t="n"/>
      <c r="I998" s="2" t="n"/>
    </row>
    <row r="999" ht="15.75" customHeight="1" s="38">
      <c r="A999" s="2" t="n"/>
      <c r="B999" s="2" t="n"/>
      <c r="C999" s="2" t="n"/>
      <c r="D999" s="2" t="n"/>
      <c r="E999" s="2" t="n"/>
      <c r="F999" s="2" t="n"/>
      <c r="I999" s="2" t="n"/>
    </row>
    <row r="1000" ht="15.75" customHeight="1" s="38">
      <c r="A1000" s="2" t="n"/>
      <c r="B1000" s="2" t="n"/>
      <c r="C1000" s="2" t="n"/>
      <c r="D1000" s="2" t="n"/>
      <c r="E1000" s="2" t="n"/>
      <c r="F1000" s="2" t="n"/>
      <c r="I1000" s="2" t="n"/>
    </row>
  </sheetData>
  <mergeCells count="3">
    <mergeCell ref="K4:K5"/>
    <mergeCell ref="K6:K7"/>
    <mergeCell ref="K10:K1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2026-04-29T04:19:53Z</dcterms:created>
  <dcterms:modified xmlns:dcterms="http://purl.org/dc/terms/" xmlns:xsi="http://www.w3.org/2001/XMLSchema-instance" xsi:type="dcterms:W3CDTF">2026-05-27T01:30:06Z</dcterms:modified>
</cp:coreProperties>
</file>