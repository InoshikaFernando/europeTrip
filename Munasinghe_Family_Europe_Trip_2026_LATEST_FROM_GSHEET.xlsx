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Day-by-Day" sheetId="3" state="visible" r:id="rId3"/>
    <sheet xmlns:r="http://schemas.openxmlformats.org/officeDocument/2006/relationships" name="Mass Options" sheetId="4" state="visible" r:id="rId4"/>
    <sheet xmlns:r="http://schemas.openxmlformats.org/officeDocument/2006/relationships" name="Transit" sheetId="5" state="visible" r:id="rId5"/>
    <sheet xmlns:r="http://schemas.openxmlformats.org/officeDocument/2006/relationships" name="Bookings" sheetId="6" state="visible" r:id="rId6"/>
    <sheet xmlns:r="http://schemas.openxmlformats.org/officeDocument/2006/relationships" name="Cities" sheetId="7" state="visible" r:id="rId7"/>
    <sheet xmlns:r="http://schemas.openxmlformats.org/officeDocument/2006/relationships" name="Flights" sheetId="8" state="visible" r:id="rId8"/>
    <sheet xmlns:r="http://schemas.openxmlformats.org/officeDocument/2006/relationships" name="C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Arial"/>
      <b val="1"/>
      <color rgb="FF0D1B2A"/>
      <sz val="16"/>
    </font>
    <font>
      <name val="Arial"/>
      <i val="1"/>
      <color rgb="FF6B6B6B"/>
      <sz val="10"/>
    </font>
    <font>
      <name val="Calibri"/>
      <color theme="1"/>
      <sz val="11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0D1B2A"/>
      <sz val="11"/>
    </font>
    <font>
      <name val="Arial"/>
      <color rgb="FF0563C1"/>
      <sz val="11"/>
    </font>
    <font>
      <name val="Arial"/>
      <color rgb="FF0563C1"/>
      <sz val="11"/>
      <u val="single"/>
    </font>
    <font/>
    <font>
      <name val="Calibri"/>
      <color theme="1"/>
      <scheme val="minor"/>
    </font>
    <font>
      <name val="Calibri"/>
      <b val="1"/>
      <color theme="1"/>
      <sz val="11"/>
    </font>
    <font>
      <name val="Arial"/>
      <b val="1"/>
      <color rgb="FF0D1B2A"/>
      <sz val="12"/>
    </font>
    <font>
      <name val="Arial"/>
      <i val="1"/>
      <color rgb="FF555555"/>
      <sz val="10"/>
    </font>
    <font>
      <name val="Arial"/>
      <color rgb="FF0563C1"/>
      <sz val="11"/>
      <u val="single"/>
    </font>
  </fonts>
  <fills count="8">
    <fill>
      <patternFill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D8E8DA"/>
        <bgColor rgb="FFD8E8DA"/>
      </patternFill>
    </fill>
    <fill>
      <patternFill patternType="solid">
        <fgColor rgb="FFF5D5D5"/>
        <bgColor rgb="FFF5D5D5"/>
      </patternFill>
    </fill>
    <fill>
      <patternFill patternType="solid">
        <fgColor rgb="FFF4E4BC"/>
        <bgColor rgb="FFF4E4BC"/>
      </patternFill>
    </fill>
    <fill>
      <patternFill patternType="solid">
        <fgColor rgb="FFC89B3C"/>
        <bgColor rgb="FFC89B3C"/>
      </patternFill>
    </fill>
    <fill>
      <patternFill patternType="solid">
        <fgColor rgb="FFFFE9B8"/>
        <bgColor rgb="FFFFE9B8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left/>
      <right/>
      <top/>
      <bottom/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pivotButton="0" quotePrefix="0" xfId="0"/>
    <xf numFmtId="0" fontId="8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10" fillId="0" borderId="3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1" fillId="0" borderId="0" pivotButton="0" quotePrefix="0" xfId="0"/>
    <xf numFmtId="4" fontId="6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2" fillId="0" borderId="0" pivotButton="0" quotePrefix="0" xfId="0"/>
    <xf numFmtId="0" fontId="13" fillId="7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4" fillId="0" borderId="0" pivotButton="0" quotePrefix="0" xfId="0"/>
    <xf numFmtId="0" fontId="4" fillId="2" borderId="1" pivotButton="0" quotePrefix="0" xfId="0"/>
    <xf numFmtId="0" fontId="15" fillId="3" borderId="1" applyAlignment="1" pivotButton="0" quotePrefix="0" xfId="0">
      <alignment horizontal="left" vertical="top" wrapText="1"/>
    </xf>
    <xf numFmtId="0" fontId="11" fillId="0" borderId="0" pivotButton="0" quotePrefix="0" xfId="0"/>
    <xf numFmtId="9" fontId="7" fillId="6" borderId="1" pivotButton="0" quotePrefix="0" xfId="0"/>
    <xf numFmtId="0" fontId="13" fillId="5" borderId="4" pivotButton="0" quotePrefix="0" xfId="0"/>
    <xf numFmtId="0" fontId="6" fillId="0" borderId="7" applyAlignment="1" pivotButton="0" quotePrefix="0" xfId="0">
      <alignment horizontal="left" vertical="top" wrapText="1"/>
    </xf>
    <xf numFmtId="0" fontId="10" fillId="0" borderId="8" pivotButton="0" quotePrefix="0" xfId="0"/>
    <xf numFmtId="0" fontId="10" fillId="0" borderId="9" pivotButton="0" quotePrefix="0" xfId="0"/>
    <xf numFmtId="0" fontId="0" fillId="0" borderId="0" pivotButton="0" quotePrefix="0" xfId="0"/>
    <xf numFmtId="0" fontId="0" fillId="0" borderId="3" pivotButton="0" quotePrefix="0" xfId="0"/>
    <xf numFmtId="0" fontId="13" fillId="7" borderId="12" pivotButton="0" quotePrefix="0" xfId="0"/>
    <xf numFmtId="0" fontId="13" fillId="5" borderId="12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at/burg-altpernstein.en-gb.html" TargetMode="External" Id="rId2"/><Relationship Type="http://schemas.openxmlformats.org/officeDocument/2006/relationships/hyperlink" Target="https://www.booking.com/hotel/cz/gold-art-apartment.en-gb.html" TargetMode="External" Id="rId3"/><Relationship Type="http://schemas.openxmlformats.org/officeDocument/2006/relationships/hyperlink" Target="https://www.booking.com/hotel/cz/gold-art-apartment.en-gb.html" TargetMode="External" Id="rId4"/><Relationship Type="http://schemas.openxmlformats.org/officeDocument/2006/relationships/hyperlink" Target="https://www.booking.com/hotel/at/thelevantelaudon.en-gb.html" TargetMode="External" Id="rId5"/><Relationship Type="http://schemas.openxmlformats.org/officeDocument/2006/relationships/hyperlink" Target="https://www.booking.com/hotel/hu/city-appartementhaus.html" TargetMode="External" Id="rId6"/><Relationship Type="http://schemas.openxmlformats.org/officeDocument/2006/relationships/hyperlink" Target="https://www.booking.com/Share-O3WihJ" TargetMode="External" Id="rId7"/><Relationship Type="http://schemas.openxmlformats.org/officeDocument/2006/relationships/hyperlink" Target="https://www.booking.com/Share-O3WihJ" TargetMode="External" Id="rId8"/><Relationship Type="http://schemas.openxmlformats.org/officeDocument/2006/relationships/hyperlink" Target="https://www.booking.com/Share-eI77Nu" TargetMode="External" Id="rId9"/><Relationship Type="http://schemas.openxmlformats.org/officeDocument/2006/relationships/hyperlink" Target="https://www.booking.com/hotel/it/dabriebra.en-gb.html" TargetMode="External" Id="rId10"/><Relationship Type="http://schemas.openxmlformats.org/officeDocument/2006/relationships/hyperlink" Target="https://www.booking.com/hotel/it/dabriebra.en-gb.html" TargetMode="External" Id="rId11"/><Relationship Type="http://schemas.openxmlformats.org/officeDocument/2006/relationships/hyperlink" Target="https://www.booking.com/hotel/it/dabriebra.en-gb.html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cz/gold-art-apartment.en-gb.html" TargetMode="External" Id="rId2"/><Relationship Type="http://schemas.openxmlformats.org/officeDocument/2006/relationships/hyperlink" Target="https://www.booking.com/hotel/at/thelevantelaudon.en-gb.html" TargetMode="External" Id="rId3"/><Relationship Type="http://schemas.openxmlformats.org/officeDocument/2006/relationships/hyperlink" Target="https://www.booking.com/hotel/hu/city-appartementhaus.html" TargetMode="External" Id="rId4"/><Relationship Type="http://schemas.openxmlformats.org/officeDocument/2006/relationships/hyperlink" Target="https://www.booking.com/Share-O3WihJ" TargetMode="External" Id="rId5"/><Relationship Type="http://schemas.openxmlformats.org/officeDocument/2006/relationships/hyperlink" Target="https://www.booking.com/Share-eI77Nu" TargetMode="External" Id="rId6"/><Relationship Type="http://schemas.openxmlformats.org/officeDocument/2006/relationships/hyperlink" Target="https://www.booking.com/hotel/it/dabriebra.en-gb.html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at/burg-altpernstein.en-gb.html" TargetMode="External" Id="rId2"/><Relationship Type="http://schemas.openxmlformats.org/officeDocument/2006/relationships/hyperlink" Target="https://www.booking.com/hotel/cz/gold-art-apartment.en-gb.html" TargetMode="External" Id="rId3"/><Relationship Type="http://schemas.openxmlformats.org/officeDocument/2006/relationships/hyperlink" Target="https://www.booking.com/hotel/cz/gold-art-apartment.en-gb.html" TargetMode="External" Id="rId4"/><Relationship Type="http://schemas.openxmlformats.org/officeDocument/2006/relationships/hyperlink" Target="https://www.booking.com/hotel/at/thelevantelaudon.en-gb.html" TargetMode="External" Id="rId5"/><Relationship Type="http://schemas.openxmlformats.org/officeDocument/2006/relationships/hyperlink" Target="https://www.booking.com/hotel/hu/city-appartementhaus.html" TargetMode="External" Id="rId6"/><Relationship Type="http://schemas.openxmlformats.org/officeDocument/2006/relationships/hyperlink" Target="https://www.booking.com/Share-O3WihJ" TargetMode="External" Id="rId7"/><Relationship Type="http://schemas.openxmlformats.org/officeDocument/2006/relationships/hyperlink" Target="https://www.booking.com/Share-O3WihJ" TargetMode="External" Id="rId8"/><Relationship Type="http://schemas.openxmlformats.org/officeDocument/2006/relationships/hyperlink" Target="https://www.booking.com/Share-eI77Nu" TargetMode="External" Id="rId9"/><Relationship Type="http://schemas.openxmlformats.org/officeDocument/2006/relationships/hyperlink" Target="https://www.booking.com/hotel/it/dabriebra.en-gb.html" TargetMode="External" Id="rId10"/><Relationship Type="http://schemas.openxmlformats.org/officeDocument/2006/relationships/hyperlink" Target="https://www.booking.com/hotel/it/dabriebra.en-gb.html" TargetMode="External" Id="rId11"/><Relationship Type="http://schemas.openxmlformats.org/officeDocument/2006/relationships/hyperlink" Target="https://www.booking.com/hotel/it/dabriebra.en-gb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35" min="1" max="1"/>
    <col width="60" customWidth="1" style="35" min="2" max="2"/>
    <col width="10" customWidth="1" style="35" min="3" max="3"/>
    <col width="60" customWidth="1" style="35" min="4" max="4"/>
    <col width="8.710000000000001" customWidth="1" style="35" min="5" max="6"/>
  </cols>
  <sheetData>
    <row r="1" ht="24" customHeight="1" s="35">
      <c r="A1" s="1" t="inlineStr">
        <is>
          <t>Avi's Family Trip to Europe — The Grand Journey 2026</t>
        </is>
      </c>
    </row>
    <row r="2" ht="18" customHeight="1" s="35">
      <c r="A2" s="2" t="inlineStr">
        <is>
          <t>Auckland → Beijing → Europe → Beijing → Auckland · 25 nights · July–August 2026</t>
        </is>
      </c>
    </row>
    <row r="3">
      <c r="A3" s="18" t="n"/>
      <c r="B3" s="18" t="n"/>
      <c r="C3" s="18" t="n"/>
      <c r="D3" s="18" t="n"/>
    </row>
    <row r="4" ht="15" customHeight="1" s="35">
      <c r="A4" s="4" t="inlineStr">
        <is>
          <t>KEY FACT</t>
        </is>
      </c>
      <c r="B4" s="4" t="inlineStr">
        <is>
          <t>VALUE</t>
        </is>
      </c>
      <c r="C4" s="18" t="n"/>
      <c r="D4" s="18" t="n"/>
    </row>
    <row r="5" ht="15" customHeight="1" s="35">
      <c r="A5" s="5" t="inlineStr">
        <is>
          <t>Total nights</t>
        </is>
      </c>
      <c r="B5" s="17" t="inlineStr">
        <is>
          <t>25</t>
        </is>
      </c>
      <c r="C5" s="18" t="n"/>
      <c r="D5" s="18" t="n"/>
    </row>
    <row r="6" ht="15" customHeight="1" s="35">
      <c r="A6" s="5" t="inlineStr">
        <is>
          <t>Departure (AKL)</t>
        </is>
      </c>
      <c r="B6" s="17" t="inlineStr">
        <is>
          <t>Thu 9 Jul 2026 · CA784 19:30</t>
        </is>
      </c>
      <c r="C6" s="18" t="n"/>
      <c r="D6" s="18" t="n"/>
    </row>
    <row r="7" ht="15" customHeight="1" s="35">
      <c r="A7" s="5" t="inlineStr">
        <is>
          <t>Arrival in Europe</t>
        </is>
      </c>
      <c r="B7" s="17" t="inlineStr">
        <is>
          <t>Sat 11 Jul · MUC 07:05 → drive direct to Austria (3 hrs)</t>
        </is>
      </c>
      <c r="C7" s="18" t="n"/>
      <c r="D7" s="18" t="n"/>
    </row>
    <row r="8" ht="15" customHeight="1" s="35">
      <c r="A8" s="5" t="inlineStr">
        <is>
          <t>Last European sleep</t>
        </is>
      </c>
      <c r="B8" s="17" t="inlineStr">
        <is>
          <t>Tue 4 Aug 2026 · Gothenburg</t>
        </is>
      </c>
      <c r="C8" s="18" t="n"/>
      <c r="D8" s="18" t="n"/>
    </row>
    <row r="9" ht="15" customHeight="1" s="35">
      <c r="A9" s="5" t="inlineStr">
        <is>
          <t>GOT → MUC flight</t>
        </is>
      </c>
      <c r="B9" s="17" t="inlineStr">
        <is>
          <t>Wed 5 Aug 06:30 — CRITICAL booking</t>
        </is>
      </c>
      <c r="C9" s="18" t="n"/>
      <c r="D9" s="18" t="n"/>
    </row>
    <row r="10" ht="15" customHeight="1" s="35">
      <c r="A10" s="5" t="inlineStr">
        <is>
          <t>Final departure (MUC)</t>
        </is>
      </c>
      <c r="B10" s="17" t="inlineStr">
        <is>
          <t>Thu 6 Aug 2026 · CA962 13:00</t>
        </is>
      </c>
      <c r="C10" s="18" t="n"/>
      <c r="D10" s="18" t="n"/>
    </row>
    <row r="11" ht="15" customHeight="1" s="35">
      <c r="A11" s="5" t="inlineStr">
        <is>
          <t>Return to Auckland</t>
        </is>
      </c>
      <c r="B11" s="17" t="inlineStr">
        <is>
          <t>Sat 8 Aug 2026 · CA783 16:30</t>
        </is>
      </c>
      <c r="C11" s="18" t="n"/>
      <c r="D11" s="18" t="n"/>
    </row>
    <row r="12" ht="15" customHeight="1" s="35">
      <c r="A12" s="5" t="inlineStr">
        <is>
          <t>Beijing stopover #1</t>
        </is>
      </c>
      <c r="B12" s="17" t="inlineStr">
        <is>
          <t>Forbidden City + Tiananmen (10 Jul, 22 hrs)</t>
        </is>
      </c>
      <c r="C12" s="18" t="n"/>
      <c r="D12" s="18" t="n"/>
    </row>
    <row r="13" ht="15" customHeight="1" s="35">
      <c r="A13" s="5" t="inlineStr">
        <is>
          <t>Beijing stopover #2</t>
        </is>
      </c>
      <c r="B13" s="17" t="inlineStr">
        <is>
          <t>Great Wall at Mutianyu (7 Aug, 19 hrs)</t>
        </is>
      </c>
      <c r="C13" s="18" t="n"/>
      <c r="D13" s="18" t="n"/>
    </row>
    <row r="14" ht="15" customHeight="1" s="35">
      <c r="A14" s="5" t="inlineStr">
        <is>
          <t>Cities visited</t>
        </is>
      </c>
      <c r="B14" s="17" t="inlineStr">
        <is>
          <t>19 sleep-in cities (Munich now transit only · Hallstatt day trip)</t>
        </is>
      </c>
      <c r="C14" s="18" t="n"/>
      <c r="D14" s="18" t="n"/>
    </row>
    <row r="15" ht="15" customHeight="1" s="35">
      <c r="A15" s="5" t="inlineStr">
        <is>
          <t>Sister visit</t>
        </is>
      </c>
      <c r="B15" s="17" t="inlineStr">
        <is>
          <t>Gothenburg · 3–4 Aug · 2 nights 💙</t>
        </is>
      </c>
      <c r="C15" s="18" t="n"/>
      <c r="D15" s="18" t="n"/>
    </row>
    <row r="16" ht="15" customHeight="1" s="35">
      <c r="A16" s="5" t="inlineStr">
        <is>
          <t>Confirmed additions</t>
        </is>
      </c>
      <c r="B16" s="17" t="inlineStr">
        <is>
          <t>Amsterdam 1N, Copenhagen 1N, Gothenburg 2N</t>
        </is>
      </c>
      <c r="C16" s="18" t="n"/>
      <c r="D16" s="18" t="n"/>
    </row>
    <row r="17" ht="15" customHeight="1" s="35">
      <c r="A17" s="5" t="inlineStr">
        <is>
          <t>Driving total</t>
        </is>
      </c>
      <c r="B17" s="17" t="inlineStr">
        <is>
          <t>~4,200 km across 8 countries</t>
        </is>
      </c>
      <c r="C17" s="18" t="n"/>
      <c r="D17" s="18" t="n"/>
    </row>
    <row r="18" ht="15" customHeight="1" s="35">
      <c r="A18" s="5" t="inlineStr">
        <is>
          <t>Transport mix</t>
        </is>
      </c>
      <c r="B18" s="17" t="inlineStr">
        <is>
          <t>Rental car · TGV · Thalys · ICE · X2000 · 6 flights</t>
        </is>
      </c>
      <c r="C18" s="18" t="n"/>
      <c r="D18" s="18" t="n"/>
    </row>
    <row r="19" ht="15" customHeight="1" s="35">
      <c r="A19" s="5" t="inlineStr">
        <is>
          <t>Visa note</t>
        </is>
      </c>
      <c r="B19" s="17" t="inlineStr">
        <is>
          <t>144-hr China Transit · apply before AKL departure</t>
        </is>
      </c>
      <c r="C19" s="18" t="n"/>
      <c r="D19" s="18" t="n"/>
    </row>
    <row r="20">
      <c r="A20" s="18" t="n"/>
      <c r="B20" s="18" t="n"/>
      <c r="C20" s="18" t="n"/>
      <c r="D20" s="18" t="n"/>
    </row>
    <row r="21" ht="15.75" customHeight="1" s="35">
      <c r="A21" s="18" t="n"/>
      <c r="B21" s="18" t="n"/>
      <c r="C21" s="18" t="n"/>
      <c r="D21" s="18" t="n"/>
    </row>
    <row r="22" ht="15" customHeight="1" s="35">
      <c r="A22" s="4" t="inlineStr">
        <is>
          <t>PHASE</t>
        </is>
      </c>
      <c r="B22" s="4" t="inlineStr">
        <is>
          <t>DATES</t>
        </is>
      </c>
      <c r="C22" s="4" t="inlineStr">
        <is>
          <t>DAYS</t>
        </is>
      </c>
      <c r="D22" s="4" t="inlineStr">
        <is>
          <t>FOCUS</t>
        </is>
      </c>
    </row>
    <row r="23" ht="15" customHeight="1" s="35">
      <c r="A23" s="17" t="inlineStr">
        <is>
          <t>Austria + East</t>
        </is>
      </c>
      <c r="B23" s="17" t="inlineStr">
        <is>
          <t>11–16 Jul</t>
        </is>
      </c>
      <c r="C23" s="17" t="inlineStr">
        <is>
          <t>1–6</t>
        </is>
      </c>
      <c r="D23" s="17" t="inlineStr">
        <is>
          <t>Burg Altpernstein (Upper Austria), Prague, Vienna, Budapest · Hallstatt day trip optional</t>
        </is>
      </c>
    </row>
    <row r="24" ht="26.25" customHeight="1" s="35">
      <c r="A24" s="17" t="inlineStr">
        <is>
          <t>Bled + Italy</t>
        </is>
      </c>
      <c r="B24" s="17" t="inlineStr">
        <is>
          <t>17–22 Jul</t>
        </is>
      </c>
      <c r="C24" s="17" t="inlineStr">
        <is>
          <t>7–12</t>
        </is>
      </c>
      <c r="D24" s="17" t="inlineStr">
        <is>
          <t>Bled (day), Venice, Florence, Rome, Pompeii/Naples (day), Vatican</t>
        </is>
      </c>
    </row>
    <row r="25" ht="26.25" customHeight="1" s="35">
      <c r="A25" s="17" t="inlineStr">
        <is>
          <t>Swiss Alps</t>
        </is>
      </c>
      <c r="B25" s="17" t="inlineStr">
        <is>
          <t>23–27 Jul</t>
        </is>
      </c>
      <c r="C25" s="17" t="inlineStr">
        <is>
          <t>13–17</t>
        </is>
      </c>
      <c r="D25" s="17" t="inlineStr">
        <is>
          <t>Milan + friend stay, Stalden + Gornergrat, Moléson-sur-Gruyères + Geneva day, Bern stop</t>
        </is>
      </c>
    </row>
    <row r="26" ht="15" customHeight="1" s="35">
      <c r="A26" s="17" t="inlineStr">
        <is>
          <t>Paris + Lourdes</t>
        </is>
      </c>
      <c r="B26" s="17" t="inlineStr">
        <is>
          <t>28–29 Jul</t>
        </is>
      </c>
      <c r="C26" s="17" t="inlineStr">
        <is>
          <t>18–19</t>
        </is>
      </c>
      <c r="D26" s="17" t="inlineStr">
        <is>
          <t>Drop car · fly Paris · TGV to Lourdes</t>
        </is>
      </c>
    </row>
    <row r="27" ht="15" customHeight="1" s="35">
      <c r="A27" s="17" t="inlineStr">
        <is>
          <t>Amsterdam</t>
        </is>
      </c>
      <c r="B27" s="17" t="inlineStr">
        <is>
          <t>30 Jul</t>
        </is>
      </c>
      <c r="C27" s="17" t="inlineStr">
        <is>
          <t>20</t>
        </is>
      </c>
      <c r="D27" s="17" t="inlineStr">
        <is>
          <t>TGV+Thalys via Paris · 1 night</t>
        </is>
      </c>
    </row>
    <row r="28" ht="15" customHeight="1" s="35">
      <c r="A28" s="17" t="inlineStr">
        <is>
          <t>Berlin ×2</t>
        </is>
      </c>
      <c r="B28" s="17" t="inlineStr">
        <is>
          <t>31 Jul – 1 Aug</t>
        </is>
      </c>
      <c r="C28" s="17" t="inlineStr">
        <is>
          <t>21–22</t>
        </is>
      </c>
      <c r="D28" s="17" t="inlineStr">
        <is>
          <t>ICE from Amsterdam · Reichstag · Museum Island</t>
        </is>
      </c>
    </row>
    <row r="29" ht="15" customHeight="1" s="35">
      <c r="A29" s="17" t="inlineStr">
        <is>
          <t>Copenhagen</t>
        </is>
      </c>
      <c r="B29" s="17" t="inlineStr">
        <is>
          <t>2 Aug</t>
        </is>
      </c>
      <c r="C29" s="17" t="inlineStr">
        <is>
          <t>23</t>
        </is>
      </c>
      <c r="D29" s="17" t="inlineStr">
        <is>
          <t>Fly BER→CPH · Nyhavn · Tivoli</t>
        </is>
      </c>
    </row>
    <row r="30" ht="15" customHeight="1" s="35">
      <c r="A30" s="17" t="inlineStr">
        <is>
          <t>Gothenburg 💙</t>
        </is>
      </c>
      <c r="B30" s="17" t="inlineStr">
        <is>
          <t>3–4 Aug</t>
        </is>
      </c>
      <c r="C30" s="17" t="inlineStr">
        <is>
          <t>24–25</t>
        </is>
      </c>
      <c r="D30" s="17" t="inlineStr">
        <is>
          <t>X2000 train · sister visit · Liseberg · Haga</t>
        </is>
      </c>
    </row>
    <row r="31" ht="15" customHeight="1" s="35">
      <c r="A31" s="17" t="inlineStr">
        <is>
          <t>Return</t>
        </is>
      </c>
      <c r="B31" s="17" t="inlineStr">
        <is>
          <t>5–8 Aug</t>
        </is>
      </c>
      <c r="C31" s="17" t="inlineStr">
        <is>
          <t>—</t>
        </is>
      </c>
      <c r="D31" s="17" t="inlineStr">
        <is>
          <t>GOT→MUC day · CA962 → Beijing (Great Wall) → AKL</t>
        </is>
      </c>
    </row>
    <row r="32" ht="15.75" customHeight="1" s="35">
      <c r="A32" s="18" t="n"/>
      <c r="B32" s="18" t="n"/>
      <c r="C32" s="18" t="n"/>
      <c r="D32" s="18" t="n"/>
    </row>
    <row r="33" ht="15.75" customHeight="1" s="35">
      <c r="A33" s="18" t="n"/>
      <c r="B33" s="18" t="n"/>
      <c r="C33" s="18" t="n"/>
      <c r="D33" s="18" t="n"/>
    </row>
    <row r="34" ht="15.75" customHeight="1" s="35">
      <c r="A34" s="18" t="n"/>
      <c r="B34" s="18" t="n"/>
      <c r="C34" s="18" t="n"/>
      <c r="D34" s="18" t="n"/>
    </row>
    <row r="35" ht="15.75" customHeight="1" s="35">
      <c r="A35" s="18" t="n"/>
      <c r="B35" s="18" t="n"/>
      <c r="C35" s="18" t="n"/>
      <c r="D35" s="18" t="n"/>
    </row>
    <row r="36" ht="15.75" customHeight="1" s="35">
      <c r="A36" s="18" t="n"/>
      <c r="B36" s="18" t="n"/>
      <c r="C36" s="18" t="n"/>
      <c r="D36" s="18" t="n"/>
    </row>
    <row r="37" ht="15.75" customHeight="1" s="35">
      <c r="A37" s="18" t="n"/>
      <c r="B37" s="18" t="n"/>
      <c r="C37" s="18" t="n"/>
      <c r="D37" s="18" t="n"/>
    </row>
    <row r="38" ht="15.75" customHeight="1" s="35">
      <c r="A38" s="18" t="n"/>
      <c r="B38" s="18" t="n"/>
      <c r="C38" s="18" t="n"/>
      <c r="D38" s="18" t="n"/>
    </row>
    <row r="39" ht="15.75" customHeight="1" s="35">
      <c r="A39" s="18" t="n"/>
      <c r="B39" s="18" t="n"/>
      <c r="C39" s="18" t="n"/>
      <c r="D39" s="18" t="n"/>
    </row>
    <row r="40" ht="15.75" customHeight="1" s="35">
      <c r="A40" s="18" t="n"/>
      <c r="B40" s="18" t="n"/>
      <c r="C40" s="18" t="n"/>
      <c r="D40" s="18" t="n"/>
    </row>
    <row r="41" ht="15.75" customHeight="1" s="35">
      <c r="A41" s="18" t="n"/>
      <c r="B41" s="18" t="n"/>
      <c r="C41" s="18" t="n"/>
      <c r="D41" s="18" t="n"/>
    </row>
    <row r="42" ht="15.75" customHeight="1" s="35">
      <c r="A42" s="18" t="n"/>
      <c r="B42" s="18" t="n"/>
      <c r="C42" s="18" t="n"/>
      <c r="D42" s="18" t="n"/>
    </row>
    <row r="43" ht="15.75" customHeight="1" s="35">
      <c r="A43" s="18" t="n"/>
      <c r="B43" s="18" t="n"/>
      <c r="C43" s="18" t="n"/>
      <c r="D43" s="18" t="n"/>
    </row>
    <row r="44" ht="15.75" customHeight="1" s="35">
      <c r="A44" s="18" t="n"/>
      <c r="B44" s="18" t="n"/>
      <c r="C44" s="18" t="n"/>
      <c r="D44" s="18" t="n"/>
    </row>
    <row r="45" ht="15.75" customHeight="1" s="35">
      <c r="A45" s="18" t="n"/>
      <c r="B45" s="18" t="n"/>
      <c r="C45" s="18" t="n"/>
      <c r="D45" s="18" t="n"/>
    </row>
    <row r="46" ht="15.75" customHeight="1" s="35">
      <c r="A46" s="18" t="n"/>
      <c r="B46" s="18" t="n"/>
      <c r="C46" s="18" t="n"/>
      <c r="D46" s="18" t="n"/>
    </row>
    <row r="47" ht="15.75" customHeight="1" s="35">
      <c r="A47" s="18" t="n"/>
      <c r="B47" s="18" t="n"/>
      <c r="C47" s="18" t="n"/>
      <c r="D47" s="18" t="n"/>
    </row>
    <row r="48" ht="15.75" customHeight="1" s="35">
      <c r="A48" s="18" t="n"/>
      <c r="B48" s="18" t="n"/>
      <c r="C48" s="18" t="n"/>
      <c r="D48" s="18" t="n"/>
    </row>
    <row r="49" ht="15.75" customHeight="1" s="35">
      <c r="A49" s="18" t="n"/>
      <c r="B49" s="18" t="n"/>
      <c r="C49" s="18" t="n"/>
      <c r="D49" s="18" t="n"/>
    </row>
    <row r="50" ht="15.75" customHeight="1" s="35">
      <c r="A50" s="18" t="n"/>
      <c r="B50" s="18" t="n"/>
      <c r="C50" s="18" t="n"/>
      <c r="D50" s="18" t="n"/>
    </row>
    <row r="51" ht="15.75" customHeight="1" s="35">
      <c r="A51" s="18" t="n"/>
      <c r="B51" s="18" t="n"/>
      <c r="C51" s="18" t="n"/>
      <c r="D51" s="18" t="n"/>
    </row>
    <row r="52" ht="15.75" customHeight="1" s="35">
      <c r="A52" s="18" t="n"/>
      <c r="B52" s="18" t="n"/>
      <c r="C52" s="18" t="n"/>
      <c r="D52" s="18" t="n"/>
    </row>
    <row r="53" ht="15.75" customHeight="1" s="35">
      <c r="A53" s="18" t="n"/>
      <c r="B53" s="18" t="n"/>
      <c r="C53" s="18" t="n"/>
      <c r="D53" s="18" t="n"/>
    </row>
    <row r="54" ht="15.75" customHeight="1" s="35">
      <c r="A54" s="18" t="n"/>
      <c r="B54" s="18" t="n"/>
      <c r="C54" s="18" t="n"/>
      <c r="D54" s="18" t="n"/>
    </row>
    <row r="55" ht="15.75" customHeight="1" s="35">
      <c r="A55" s="18" t="n"/>
      <c r="B55" s="18" t="n"/>
      <c r="C55" s="18" t="n"/>
      <c r="D55" s="18" t="n"/>
    </row>
    <row r="56" ht="15.75" customHeight="1" s="35">
      <c r="A56" s="18" t="n"/>
      <c r="B56" s="18" t="n"/>
      <c r="C56" s="18" t="n"/>
      <c r="D56" s="18" t="n"/>
    </row>
    <row r="57" ht="15.75" customHeight="1" s="35">
      <c r="A57" s="18" t="n"/>
      <c r="B57" s="18" t="n"/>
      <c r="C57" s="18" t="n"/>
      <c r="D57" s="18" t="n"/>
    </row>
    <row r="58" ht="15.75" customHeight="1" s="35">
      <c r="A58" s="18" t="n"/>
      <c r="B58" s="18" t="n"/>
      <c r="C58" s="18" t="n"/>
      <c r="D58" s="18" t="n"/>
    </row>
    <row r="59" ht="15.75" customHeight="1" s="35">
      <c r="A59" s="18" t="n"/>
      <c r="B59" s="18" t="n"/>
      <c r="C59" s="18" t="n"/>
      <c r="D59" s="18" t="n"/>
    </row>
    <row r="60" ht="15.75" customHeight="1" s="35">
      <c r="A60" s="18" t="n"/>
      <c r="B60" s="18" t="n"/>
      <c r="C60" s="18" t="n"/>
      <c r="D60" s="18" t="n"/>
    </row>
    <row r="61" ht="15.75" customHeight="1" s="35">
      <c r="A61" s="18" t="n"/>
      <c r="B61" s="18" t="n"/>
      <c r="C61" s="18" t="n"/>
      <c r="D61" s="18" t="n"/>
    </row>
    <row r="62" ht="15.75" customHeight="1" s="35">
      <c r="A62" s="18" t="n"/>
      <c r="B62" s="18" t="n"/>
      <c r="C62" s="18" t="n"/>
      <c r="D62" s="18" t="n"/>
    </row>
    <row r="63" ht="15.75" customHeight="1" s="35">
      <c r="A63" s="18" t="n"/>
      <c r="B63" s="18" t="n"/>
      <c r="C63" s="18" t="n"/>
      <c r="D63" s="18" t="n"/>
    </row>
    <row r="64" ht="15.75" customHeight="1" s="35">
      <c r="A64" s="18" t="n"/>
      <c r="B64" s="18" t="n"/>
      <c r="C64" s="18" t="n"/>
      <c r="D64" s="18" t="n"/>
    </row>
    <row r="65" ht="15.75" customHeight="1" s="35">
      <c r="A65" s="18" t="n"/>
      <c r="B65" s="18" t="n"/>
      <c r="C65" s="18" t="n"/>
      <c r="D65" s="18" t="n"/>
    </row>
    <row r="66" ht="15.75" customHeight="1" s="35">
      <c r="A66" s="18" t="n"/>
      <c r="B66" s="18" t="n"/>
      <c r="C66" s="18" t="n"/>
      <c r="D66" s="18" t="n"/>
    </row>
    <row r="67" ht="15.75" customHeight="1" s="35">
      <c r="A67" s="18" t="n"/>
      <c r="B67" s="18" t="n"/>
      <c r="C67" s="18" t="n"/>
      <c r="D67" s="18" t="n"/>
    </row>
    <row r="68" ht="15.75" customHeight="1" s="35">
      <c r="A68" s="18" t="n"/>
      <c r="B68" s="18" t="n"/>
      <c r="C68" s="18" t="n"/>
      <c r="D68" s="18" t="n"/>
    </row>
    <row r="69" ht="15.75" customHeight="1" s="35">
      <c r="A69" s="18" t="n"/>
      <c r="B69" s="18" t="n"/>
      <c r="C69" s="18" t="n"/>
      <c r="D69" s="18" t="n"/>
    </row>
    <row r="70" ht="15.75" customHeight="1" s="35">
      <c r="A70" s="18" t="n"/>
      <c r="B70" s="18" t="n"/>
      <c r="C70" s="18" t="n"/>
      <c r="D70" s="18" t="n"/>
    </row>
    <row r="71" ht="15.75" customHeight="1" s="35">
      <c r="A71" s="18" t="n"/>
      <c r="B71" s="18" t="n"/>
      <c r="C71" s="18" t="n"/>
      <c r="D71" s="18" t="n"/>
    </row>
    <row r="72" ht="15.75" customHeight="1" s="35">
      <c r="A72" s="18" t="n"/>
      <c r="B72" s="18" t="n"/>
      <c r="C72" s="18" t="n"/>
      <c r="D72" s="18" t="n"/>
    </row>
    <row r="73" ht="15.75" customHeight="1" s="35">
      <c r="A73" s="18" t="n"/>
      <c r="B73" s="18" t="n"/>
      <c r="C73" s="18" t="n"/>
      <c r="D73" s="18" t="n"/>
    </row>
    <row r="74" ht="15.75" customHeight="1" s="35">
      <c r="A74" s="18" t="n"/>
      <c r="B74" s="18" t="n"/>
      <c r="C74" s="18" t="n"/>
      <c r="D74" s="18" t="n"/>
    </row>
    <row r="75" ht="15.75" customHeight="1" s="35">
      <c r="A75" s="18" t="n"/>
      <c r="B75" s="18" t="n"/>
      <c r="C75" s="18" t="n"/>
      <c r="D75" s="18" t="n"/>
    </row>
    <row r="76" ht="15.75" customHeight="1" s="35">
      <c r="A76" s="18" t="n"/>
      <c r="B76" s="18" t="n"/>
      <c r="C76" s="18" t="n"/>
      <c r="D76" s="18" t="n"/>
    </row>
    <row r="77" ht="15.75" customHeight="1" s="35">
      <c r="A77" s="18" t="n"/>
      <c r="B77" s="18" t="n"/>
      <c r="C77" s="18" t="n"/>
      <c r="D77" s="18" t="n"/>
    </row>
    <row r="78" ht="15.75" customHeight="1" s="35">
      <c r="A78" s="18" t="n"/>
      <c r="B78" s="18" t="n"/>
      <c r="C78" s="18" t="n"/>
      <c r="D78" s="18" t="n"/>
    </row>
    <row r="79" ht="15.75" customHeight="1" s="35">
      <c r="A79" s="18" t="n"/>
      <c r="B79" s="18" t="n"/>
      <c r="C79" s="18" t="n"/>
      <c r="D79" s="18" t="n"/>
    </row>
    <row r="80" ht="15.75" customHeight="1" s="35">
      <c r="A80" s="18" t="n"/>
      <c r="B80" s="18" t="n"/>
      <c r="C80" s="18" t="n"/>
      <c r="D80" s="18" t="n"/>
    </row>
    <row r="81" ht="15.75" customHeight="1" s="35">
      <c r="A81" s="18" t="n"/>
      <c r="B81" s="18" t="n"/>
      <c r="C81" s="18" t="n"/>
      <c r="D81" s="18" t="n"/>
    </row>
    <row r="82" ht="15.75" customHeight="1" s="35">
      <c r="A82" s="18" t="n"/>
      <c r="B82" s="18" t="n"/>
      <c r="C82" s="18" t="n"/>
      <c r="D82" s="18" t="n"/>
    </row>
    <row r="83" ht="15.75" customHeight="1" s="35">
      <c r="A83" s="18" t="n"/>
      <c r="B83" s="18" t="n"/>
      <c r="C83" s="18" t="n"/>
      <c r="D83" s="18" t="n"/>
    </row>
    <row r="84" ht="15.75" customHeight="1" s="35">
      <c r="A84" s="18" t="n"/>
      <c r="B84" s="18" t="n"/>
      <c r="C84" s="18" t="n"/>
      <c r="D84" s="18" t="n"/>
    </row>
    <row r="85" ht="15.75" customHeight="1" s="35">
      <c r="A85" s="18" t="n"/>
      <c r="B85" s="18" t="n"/>
      <c r="C85" s="18" t="n"/>
      <c r="D85" s="18" t="n"/>
    </row>
    <row r="86" ht="15.75" customHeight="1" s="35">
      <c r="A86" s="18" t="n"/>
      <c r="B86" s="18" t="n"/>
      <c r="C86" s="18" t="n"/>
      <c r="D86" s="18" t="n"/>
    </row>
    <row r="87" ht="15.75" customHeight="1" s="35">
      <c r="A87" s="18" t="n"/>
      <c r="B87" s="18" t="n"/>
      <c r="C87" s="18" t="n"/>
      <c r="D87" s="18" t="n"/>
    </row>
    <row r="88" ht="15.75" customHeight="1" s="35">
      <c r="A88" s="18" t="n"/>
      <c r="B88" s="18" t="n"/>
      <c r="C88" s="18" t="n"/>
      <c r="D88" s="18" t="n"/>
    </row>
    <row r="89" ht="15.75" customHeight="1" s="35">
      <c r="A89" s="18" t="n"/>
      <c r="B89" s="18" t="n"/>
      <c r="C89" s="18" t="n"/>
      <c r="D89" s="18" t="n"/>
    </row>
    <row r="90" ht="15.75" customHeight="1" s="35">
      <c r="A90" s="18" t="n"/>
      <c r="B90" s="18" t="n"/>
      <c r="C90" s="18" t="n"/>
      <c r="D90" s="18" t="n"/>
    </row>
    <row r="91" ht="15.75" customHeight="1" s="35">
      <c r="A91" s="18" t="n"/>
      <c r="B91" s="18" t="n"/>
      <c r="C91" s="18" t="n"/>
      <c r="D91" s="18" t="n"/>
    </row>
    <row r="92" ht="15.75" customHeight="1" s="35">
      <c r="A92" s="18" t="n"/>
      <c r="B92" s="18" t="n"/>
      <c r="C92" s="18" t="n"/>
      <c r="D92" s="18" t="n"/>
    </row>
    <row r="93" ht="15.75" customHeight="1" s="35">
      <c r="A93" s="18" t="n"/>
      <c r="B93" s="18" t="n"/>
      <c r="C93" s="18" t="n"/>
      <c r="D93" s="18" t="n"/>
    </row>
    <row r="94" ht="15.75" customHeight="1" s="35">
      <c r="A94" s="18" t="n"/>
      <c r="B94" s="18" t="n"/>
      <c r="C94" s="18" t="n"/>
      <c r="D94" s="18" t="n"/>
    </row>
    <row r="95" ht="15.75" customHeight="1" s="35">
      <c r="A95" s="18" t="n"/>
      <c r="B95" s="18" t="n"/>
      <c r="C95" s="18" t="n"/>
      <c r="D95" s="18" t="n"/>
    </row>
    <row r="96" ht="15.75" customHeight="1" s="35">
      <c r="A96" s="18" t="n"/>
      <c r="B96" s="18" t="n"/>
      <c r="C96" s="18" t="n"/>
      <c r="D96" s="18" t="n"/>
    </row>
    <row r="97" ht="15.75" customHeight="1" s="35">
      <c r="A97" s="18" t="n"/>
      <c r="B97" s="18" t="n"/>
      <c r="C97" s="18" t="n"/>
      <c r="D97" s="18" t="n"/>
    </row>
    <row r="98" ht="15.75" customHeight="1" s="35">
      <c r="A98" s="18" t="n"/>
      <c r="B98" s="18" t="n"/>
      <c r="C98" s="18" t="n"/>
      <c r="D98" s="18" t="n"/>
    </row>
    <row r="99" ht="15.75" customHeight="1" s="35">
      <c r="A99" s="18" t="n"/>
      <c r="B99" s="18" t="n"/>
      <c r="C99" s="18" t="n"/>
      <c r="D99" s="18" t="n"/>
    </row>
    <row r="100" ht="15.75" customHeight="1" s="35">
      <c r="A100" s="18" t="n"/>
      <c r="B100" s="18" t="n"/>
      <c r="C100" s="18" t="n"/>
      <c r="D100" s="18" t="n"/>
    </row>
    <row r="101" ht="15.75" customHeight="1" s="35">
      <c r="A101" s="18" t="n"/>
      <c r="B101" s="18" t="n"/>
      <c r="C101" s="18" t="n"/>
      <c r="D101" s="18" t="n"/>
    </row>
    <row r="102" ht="15.75" customHeight="1" s="35">
      <c r="A102" s="18" t="n"/>
      <c r="B102" s="18" t="n"/>
      <c r="C102" s="18" t="n"/>
      <c r="D102" s="18" t="n"/>
    </row>
    <row r="103" ht="15.75" customHeight="1" s="35">
      <c r="A103" s="18" t="n"/>
      <c r="B103" s="18" t="n"/>
      <c r="C103" s="18" t="n"/>
      <c r="D103" s="18" t="n"/>
    </row>
    <row r="104" ht="15.75" customHeight="1" s="35">
      <c r="A104" s="18" t="n"/>
      <c r="B104" s="18" t="n"/>
      <c r="C104" s="18" t="n"/>
      <c r="D104" s="18" t="n"/>
    </row>
    <row r="105" ht="15.75" customHeight="1" s="35">
      <c r="A105" s="18" t="n"/>
      <c r="B105" s="18" t="n"/>
      <c r="C105" s="18" t="n"/>
      <c r="D105" s="18" t="n"/>
    </row>
    <row r="106" ht="15.75" customHeight="1" s="35">
      <c r="A106" s="18" t="n"/>
      <c r="B106" s="18" t="n"/>
      <c r="C106" s="18" t="n"/>
      <c r="D106" s="18" t="n"/>
    </row>
    <row r="107" ht="15.75" customHeight="1" s="35">
      <c r="A107" s="18" t="n"/>
      <c r="B107" s="18" t="n"/>
      <c r="C107" s="18" t="n"/>
      <c r="D107" s="18" t="n"/>
    </row>
    <row r="108" ht="15.75" customHeight="1" s="35">
      <c r="A108" s="18" t="n"/>
      <c r="B108" s="18" t="n"/>
      <c r="C108" s="18" t="n"/>
      <c r="D108" s="18" t="n"/>
    </row>
    <row r="109" ht="15.75" customHeight="1" s="35">
      <c r="A109" s="18" t="n"/>
      <c r="B109" s="18" t="n"/>
      <c r="C109" s="18" t="n"/>
      <c r="D109" s="18" t="n"/>
    </row>
    <row r="110" ht="15.75" customHeight="1" s="35">
      <c r="A110" s="18" t="n"/>
      <c r="B110" s="18" t="n"/>
      <c r="C110" s="18" t="n"/>
      <c r="D110" s="18" t="n"/>
    </row>
    <row r="111" ht="15.75" customHeight="1" s="35">
      <c r="A111" s="18" t="n"/>
      <c r="B111" s="18" t="n"/>
      <c r="C111" s="18" t="n"/>
      <c r="D111" s="18" t="n"/>
    </row>
    <row r="112" ht="15.75" customHeight="1" s="35">
      <c r="A112" s="18" t="n"/>
      <c r="B112" s="18" t="n"/>
      <c r="C112" s="18" t="n"/>
      <c r="D112" s="18" t="n"/>
    </row>
    <row r="113" ht="15.75" customHeight="1" s="35">
      <c r="A113" s="18" t="n"/>
      <c r="B113" s="18" t="n"/>
      <c r="C113" s="18" t="n"/>
      <c r="D113" s="18" t="n"/>
    </row>
    <row r="114" ht="15.75" customHeight="1" s="35">
      <c r="A114" s="18" t="n"/>
      <c r="B114" s="18" t="n"/>
      <c r="C114" s="18" t="n"/>
      <c r="D114" s="18" t="n"/>
    </row>
    <row r="115" ht="15.75" customHeight="1" s="35">
      <c r="A115" s="18" t="n"/>
      <c r="B115" s="18" t="n"/>
      <c r="C115" s="18" t="n"/>
      <c r="D115" s="18" t="n"/>
    </row>
    <row r="116" ht="15.75" customHeight="1" s="35">
      <c r="A116" s="18" t="n"/>
      <c r="B116" s="18" t="n"/>
      <c r="C116" s="18" t="n"/>
      <c r="D116" s="18" t="n"/>
    </row>
    <row r="117" ht="15.75" customHeight="1" s="35">
      <c r="A117" s="18" t="n"/>
      <c r="B117" s="18" t="n"/>
      <c r="C117" s="18" t="n"/>
      <c r="D117" s="18" t="n"/>
    </row>
    <row r="118" ht="15.75" customHeight="1" s="35">
      <c r="A118" s="18" t="n"/>
      <c r="B118" s="18" t="n"/>
      <c r="C118" s="18" t="n"/>
      <c r="D118" s="18" t="n"/>
    </row>
    <row r="119" ht="15.75" customHeight="1" s="35">
      <c r="A119" s="18" t="n"/>
      <c r="B119" s="18" t="n"/>
      <c r="C119" s="18" t="n"/>
      <c r="D119" s="18" t="n"/>
    </row>
    <row r="120" ht="15.75" customHeight="1" s="35">
      <c r="A120" s="18" t="n"/>
      <c r="B120" s="18" t="n"/>
      <c r="C120" s="18" t="n"/>
      <c r="D120" s="18" t="n"/>
    </row>
    <row r="121" ht="15.75" customHeight="1" s="35">
      <c r="A121" s="18" t="n"/>
      <c r="B121" s="18" t="n"/>
      <c r="C121" s="18" t="n"/>
      <c r="D121" s="18" t="n"/>
    </row>
    <row r="122" ht="15.75" customHeight="1" s="35">
      <c r="A122" s="18" t="n"/>
      <c r="B122" s="18" t="n"/>
      <c r="C122" s="18" t="n"/>
      <c r="D122" s="18" t="n"/>
    </row>
    <row r="123" ht="15.75" customHeight="1" s="35">
      <c r="A123" s="18" t="n"/>
      <c r="B123" s="18" t="n"/>
      <c r="C123" s="18" t="n"/>
      <c r="D123" s="18" t="n"/>
    </row>
    <row r="124" ht="15.75" customHeight="1" s="35">
      <c r="A124" s="18" t="n"/>
      <c r="B124" s="18" t="n"/>
      <c r="C124" s="18" t="n"/>
      <c r="D124" s="18" t="n"/>
    </row>
    <row r="125" ht="15.75" customHeight="1" s="35">
      <c r="A125" s="18" t="n"/>
      <c r="B125" s="18" t="n"/>
      <c r="C125" s="18" t="n"/>
      <c r="D125" s="18" t="n"/>
    </row>
    <row r="126" ht="15.75" customHeight="1" s="35">
      <c r="A126" s="18" t="n"/>
      <c r="B126" s="18" t="n"/>
      <c r="C126" s="18" t="n"/>
      <c r="D126" s="18" t="n"/>
    </row>
    <row r="127" ht="15.75" customHeight="1" s="35">
      <c r="A127" s="18" t="n"/>
      <c r="B127" s="18" t="n"/>
      <c r="C127" s="18" t="n"/>
      <c r="D127" s="18" t="n"/>
    </row>
    <row r="128" ht="15.75" customHeight="1" s="35">
      <c r="A128" s="18" t="n"/>
      <c r="B128" s="18" t="n"/>
      <c r="C128" s="18" t="n"/>
      <c r="D128" s="18" t="n"/>
    </row>
    <row r="129" ht="15.75" customHeight="1" s="35">
      <c r="A129" s="18" t="n"/>
      <c r="B129" s="18" t="n"/>
      <c r="C129" s="18" t="n"/>
      <c r="D129" s="18" t="n"/>
    </row>
    <row r="130" ht="15.75" customHeight="1" s="35">
      <c r="A130" s="18" t="n"/>
      <c r="B130" s="18" t="n"/>
      <c r="C130" s="18" t="n"/>
      <c r="D130" s="18" t="n"/>
    </row>
    <row r="131" ht="15.75" customHeight="1" s="35">
      <c r="A131" s="18" t="n"/>
      <c r="B131" s="18" t="n"/>
      <c r="C131" s="18" t="n"/>
      <c r="D131" s="18" t="n"/>
    </row>
    <row r="132" ht="15.75" customHeight="1" s="35">
      <c r="A132" s="18" t="n"/>
      <c r="B132" s="18" t="n"/>
      <c r="C132" s="18" t="n"/>
      <c r="D132" s="18" t="n"/>
    </row>
    <row r="133" ht="15.75" customHeight="1" s="35">
      <c r="A133" s="18" t="n"/>
      <c r="B133" s="18" t="n"/>
      <c r="C133" s="18" t="n"/>
      <c r="D133" s="18" t="n"/>
    </row>
    <row r="134" ht="15.75" customHeight="1" s="35">
      <c r="A134" s="18" t="n"/>
      <c r="B134" s="18" t="n"/>
      <c r="C134" s="18" t="n"/>
      <c r="D134" s="18" t="n"/>
    </row>
    <row r="135" ht="15.75" customHeight="1" s="35">
      <c r="A135" s="18" t="n"/>
      <c r="B135" s="18" t="n"/>
      <c r="C135" s="18" t="n"/>
      <c r="D135" s="18" t="n"/>
    </row>
    <row r="136" ht="15.75" customHeight="1" s="35">
      <c r="A136" s="18" t="n"/>
      <c r="B136" s="18" t="n"/>
      <c r="C136" s="18" t="n"/>
      <c r="D136" s="18" t="n"/>
    </row>
    <row r="137" ht="15.75" customHeight="1" s="35">
      <c r="A137" s="18" t="n"/>
      <c r="B137" s="18" t="n"/>
      <c r="C137" s="18" t="n"/>
      <c r="D137" s="18" t="n"/>
    </row>
    <row r="138" ht="15.75" customHeight="1" s="35">
      <c r="A138" s="18" t="n"/>
      <c r="B138" s="18" t="n"/>
      <c r="C138" s="18" t="n"/>
      <c r="D138" s="18" t="n"/>
    </row>
    <row r="139" ht="15.75" customHeight="1" s="35">
      <c r="A139" s="18" t="n"/>
      <c r="B139" s="18" t="n"/>
      <c r="C139" s="18" t="n"/>
      <c r="D139" s="18" t="n"/>
    </row>
    <row r="140" ht="15.75" customHeight="1" s="35">
      <c r="A140" s="18" t="n"/>
      <c r="B140" s="18" t="n"/>
      <c r="C140" s="18" t="n"/>
      <c r="D140" s="18" t="n"/>
    </row>
    <row r="141" ht="15.75" customHeight="1" s="35">
      <c r="A141" s="18" t="n"/>
      <c r="B141" s="18" t="n"/>
      <c r="C141" s="18" t="n"/>
      <c r="D141" s="18" t="n"/>
    </row>
    <row r="142" ht="15.75" customHeight="1" s="35">
      <c r="A142" s="18" t="n"/>
      <c r="B142" s="18" t="n"/>
      <c r="C142" s="18" t="n"/>
      <c r="D142" s="18" t="n"/>
    </row>
    <row r="143" ht="15.75" customHeight="1" s="35">
      <c r="A143" s="18" t="n"/>
      <c r="B143" s="18" t="n"/>
      <c r="C143" s="18" t="n"/>
      <c r="D143" s="18" t="n"/>
    </row>
    <row r="144" ht="15.75" customHeight="1" s="35">
      <c r="A144" s="18" t="n"/>
      <c r="B144" s="18" t="n"/>
      <c r="C144" s="18" t="n"/>
      <c r="D144" s="18" t="n"/>
    </row>
    <row r="145" ht="15.75" customHeight="1" s="35">
      <c r="A145" s="18" t="n"/>
      <c r="B145" s="18" t="n"/>
      <c r="C145" s="18" t="n"/>
      <c r="D145" s="18" t="n"/>
    </row>
    <row r="146" ht="15.75" customHeight="1" s="35">
      <c r="A146" s="18" t="n"/>
      <c r="B146" s="18" t="n"/>
      <c r="C146" s="18" t="n"/>
      <c r="D146" s="18" t="n"/>
    </row>
    <row r="147" ht="15.75" customHeight="1" s="35">
      <c r="A147" s="18" t="n"/>
      <c r="B147" s="18" t="n"/>
      <c r="C147" s="18" t="n"/>
      <c r="D147" s="18" t="n"/>
    </row>
    <row r="148" ht="15.75" customHeight="1" s="35">
      <c r="A148" s="18" t="n"/>
      <c r="B148" s="18" t="n"/>
      <c r="C148" s="18" t="n"/>
      <c r="D148" s="18" t="n"/>
    </row>
    <row r="149" ht="15.75" customHeight="1" s="35">
      <c r="A149" s="18" t="n"/>
      <c r="B149" s="18" t="n"/>
      <c r="C149" s="18" t="n"/>
      <c r="D149" s="18" t="n"/>
    </row>
    <row r="150" ht="15.75" customHeight="1" s="35">
      <c r="A150" s="18" t="n"/>
      <c r="B150" s="18" t="n"/>
      <c r="C150" s="18" t="n"/>
      <c r="D150" s="18" t="n"/>
    </row>
    <row r="151" ht="15.75" customHeight="1" s="35">
      <c r="A151" s="18" t="n"/>
      <c r="B151" s="18" t="n"/>
      <c r="C151" s="18" t="n"/>
      <c r="D151" s="18" t="n"/>
    </row>
    <row r="152" ht="15.75" customHeight="1" s="35">
      <c r="A152" s="18" t="n"/>
      <c r="B152" s="18" t="n"/>
      <c r="C152" s="18" t="n"/>
      <c r="D152" s="18" t="n"/>
    </row>
    <row r="153" ht="15.75" customHeight="1" s="35">
      <c r="A153" s="18" t="n"/>
      <c r="B153" s="18" t="n"/>
      <c r="C153" s="18" t="n"/>
      <c r="D153" s="18" t="n"/>
    </row>
    <row r="154" ht="15.75" customHeight="1" s="35">
      <c r="A154" s="18" t="n"/>
      <c r="B154" s="18" t="n"/>
      <c r="C154" s="18" t="n"/>
      <c r="D154" s="18" t="n"/>
    </row>
    <row r="155" ht="15.75" customHeight="1" s="35">
      <c r="A155" s="18" t="n"/>
      <c r="B155" s="18" t="n"/>
      <c r="C155" s="18" t="n"/>
      <c r="D155" s="18" t="n"/>
    </row>
    <row r="156" ht="15.75" customHeight="1" s="35">
      <c r="A156" s="18" t="n"/>
      <c r="B156" s="18" t="n"/>
      <c r="C156" s="18" t="n"/>
      <c r="D156" s="18" t="n"/>
    </row>
    <row r="157" ht="15.75" customHeight="1" s="35">
      <c r="A157" s="18" t="n"/>
      <c r="B157" s="18" t="n"/>
      <c r="C157" s="18" t="n"/>
      <c r="D157" s="18" t="n"/>
    </row>
    <row r="158" ht="15.75" customHeight="1" s="35">
      <c r="A158" s="18" t="n"/>
      <c r="B158" s="18" t="n"/>
      <c r="C158" s="18" t="n"/>
      <c r="D158" s="18" t="n"/>
    </row>
    <row r="159" ht="15.75" customHeight="1" s="35">
      <c r="A159" s="18" t="n"/>
      <c r="B159" s="18" t="n"/>
      <c r="C159" s="18" t="n"/>
      <c r="D159" s="18" t="n"/>
    </row>
    <row r="160" ht="15.75" customHeight="1" s="35">
      <c r="A160" s="18" t="n"/>
      <c r="B160" s="18" t="n"/>
      <c r="C160" s="18" t="n"/>
      <c r="D160" s="18" t="n"/>
    </row>
    <row r="161" ht="15.75" customHeight="1" s="35">
      <c r="A161" s="18" t="n"/>
      <c r="B161" s="18" t="n"/>
      <c r="C161" s="18" t="n"/>
      <c r="D161" s="18" t="n"/>
    </row>
    <row r="162" ht="15.75" customHeight="1" s="35">
      <c r="A162" s="18" t="n"/>
      <c r="B162" s="18" t="n"/>
      <c r="C162" s="18" t="n"/>
      <c r="D162" s="18" t="n"/>
    </row>
    <row r="163" ht="15.75" customHeight="1" s="35">
      <c r="A163" s="18" t="n"/>
      <c r="B163" s="18" t="n"/>
      <c r="C163" s="18" t="n"/>
      <c r="D163" s="18" t="n"/>
    </row>
    <row r="164" ht="15.75" customHeight="1" s="35">
      <c r="A164" s="18" t="n"/>
      <c r="B164" s="18" t="n"/>
      <c r="C164" s="18" t="n"/>
      <c r="D164" s="18" t="n"/>
    </row>
    <row r="165" ht="15.75" customHeight="1" s="35">
      <c r="A165" s="18" t="n"/>
      <c r="B165" s="18" t="n"/>
      <c r="C165" s="18" t="n"/>
      <c r="D165" s="18" t="n"/>
    </row>
    <row r="166" ht="15.75" customHeight="1" s="35">
      <c r="A166" s="18" t="n"/>
      <c r="B166" s="18" t="n"/>
      <c r="C166" s="18" t="n"/>
      <c r="D166" s="18" t="n"/>
    </row>
    <row r="167" ht="15.75" customHeight="1" s="35">
      <c r="A167" s="18" t="n"/>
      <c r="B167" s="18" t="n"/>
      <c r="C167" s="18" t="n"/>
      <c r="D167" s="18" t="n"/>
    </row>
    <row r="168" ht="15.75" customHeight="1" s="35">
      <c r="A168" s="18" t="n"/>
      <c r="B168" s="18" t="n"/>
      <c r="C168" s="18" t="n"/>
      <c r="D168" s="18" t="n"/>
    </row>
    <row r="169" ht="15.75" customHeight="1" s="35">
      <c r="A169" s="18" t="n"/>
      <c r="B169" s="18" t="n"/>
      <c r="C169" s="18" t="n"/>
      <c r="D169" s="18" t="n"/>
    </row>
    <row r="170" ht="15.75" customHeight="1" s="35">
      <c r="A170" s="18" t="n"/>
      <c r="B170" s="18" t="n"/>
      <c r="C170" s="18" t="n"/>
      <c r="D170" s="18" t="n"/>
    </row>
    <row r="171" ht="15.75" customHeight="1" s="35">
      <c r="A171" s="18" t="n"/>
      <c r="B171" s="18" t="n"/>
      <c r="C171" s="18" t="n"/>
      <c r="D171" s="18" t="n"/>
    </row>
    <row r="172" ht="15.75" customHeight="1" s="35">
      <c r="A172" s="18" t="n"/>
      <c r="B172" s="18" t="n"/>
      <c r="C172" s="18" t="n"/>
      <c r="D172" s="18" t="n"/>
    </row>
    <row r="173" ht="15.75" customHeight="1" s="35">
      <c r="A173" s="18" t="n"/>
      <c r="B173" s="18" t="n"/>
      <c r="C173" s="18" t="n"/>
      <c r="D173" s="18" t="n"/>
    </row>
    <row r="174" ht="15.75" customHeight="1" s="35">
      <c r="A174" s="18" t="n"/>
      <c r="B174" s="18" t="n"/>
      <c r="C174" s="18" t="n"/>
      <c r="D174" s="18" t="n"/>
    </row>
    <row r="175" ht="15.75" customHeight="1" s="35">
      <c r="A175" s="18" t="n"/>
      <c r="B175" s="18" t="n"/>
      <c r="C175" s="18" t="n"/>
      <c r="D175" s="18" t="n"/>
    </row>
    <row r="176" ht="15.75" customHeight="1" s="35">
      <c r="A176" s="18" t="n"/>
      <c r="B176" s="18" t="n"/>
      <c r="C176" s="18" t="n"/>
      <c r="D176" s="18" t="n"/>
    </row>
    <row r="177" ht="15.75" customHeight="1" s="35">
      <c r="A177" s="18" t="n"/>
      <c r="B177" s="18" t="n"/>
      <c r="C177" s="18" t="n"/>
      <c r="D177" s="18" t="n"/>
    </row>
    <row r="178" ht="15.75" customHeight="1" s="35">
      <c r="A178" s="18" t="n"/>
      <c r="B178" s="18" t="n"/>
      <c r="C178" s="18" t="n"/>
      <c r="D178" s="18" t="n"/>
    </row>
    <row r="179" ht="15.75" customHeight="1" s="35">
      <c r="A179" s="18" t="n"/>
      <c r="B179" s="18" t="n"/>
      <c r="C179" s="18" t="n"/>
      <c r="D179" s="18" t="n"/>
    </row>
    <row r="180" ht="15.75" customHeight="1" s="35">
      <c r="A180" s="18" t="n"/>
      <c r="B180" s="18" t="n"/>
      <c r="C180" s="18" t="n"/>
      <c r="D180" s="18" t="n"/>
    </row>
    <row r="181" ht="15.75" customHeight="1" s="35">
      <c r="A181" s="18" t="n"/>
      <c r="B181" s="18" t="n"/>
      <c r="C181" s="18" t="n"/>
      <c r="D181" s="18" t="n"/>
    </row>
    <row r="182" ht="15.75" customHeight="1" s="35">
      <c r="A182" s="18" t="n"/>
      <c r="B182" s="18" t="n"/>
      <c r="C182" s="18" t="n"/>
      <c r="D182" s="18" t="n"/>
    </row>
    <row r="183" ht="15.75" customHeight="1" s="35">
      <c r="A183" s="18" t="n"/>
      <c r="B183" s="18" t="n"/>
      <c r="C183" s="18" t="n"/>
      <c r="D183" s="18" t="n"/>
    </row>
    <row r="184" ht="15.75" customHeight="1" s="35">
      <c r="A184" s="18" t="n"/>
      <c r="B184" s="18" t="n"/>
      <c r="C184" s="18" t="n"/>
      <c r="D184" s="18" t="n"/>
    </row>
    <row r="185" ht="15.75" customHeight="1" s="35">
      <c r="A185" s="18" t="n"/>
      <c r="B185" s="18" t="n"/>
      <c r="C185" s="18" t="n"/>
      <c r="D185" s="18" t="n"/>
    </row>
    <row r="186" ht="15.75" customHeight="1" s="35">
      <c r="A186" s="18" t="n"/>
      <c r="B186" s="18" t="n"/>
      <c r="C186" s="18" t="n"/>
      <c r="D186" s="18" t="n"/>
    </row>
    <row r="187" ht="15.75" customHeight="1" s="35">
      <c r="A187" s="18" t="n"/>
      <c r="B187" s="18" t="n"/>
      <c r="C187" s="18" t="n"/>
      <c r="D187" s="18" t="n"/>
    </row>
    <row r="188" ht="15.75" customHeight="1" s="35">
      <c r="A188" s="18" t="n"/>
      <c r="B188" s="18" t="n"/>
      <c r="C188" s="18" t="n"/>
      <c r="D188" s="18" t="n"/>
    </row>
    <row r="189" ht="15.75" customHeight="1" s="35">
      <c r="A189" s="18" t="n"/>
      <c r="B189" s="18" t="n"/>
      <c r="C189" s="18" t="n"/>
      <c r="D189" s="18" t="n"/>
    </row>
    <row r="190" ht="15.75" customHeight="1" s="35">
      <c r="A190" s="18" t="n"/>
      <c r="B190" s="18" t="n"/>
      <c r="C190" s="18" t="n"/>
      <c r="D190" s="18" t="n"/>
    </row>
    <row r="191" ht="15.75" customHeight="1" s="35">
      <c r="A191" s="18" t="n"/>
      <c r="B191" s="18" t="n"/>
      <c r="C191" s="18" t="n"/>
      <c r="D191" s="18" t="n"/>
    </row>
    <row r="192" ht="15.75" customHeight="1" s="35">
      <c r="A192" s="18" t="n"/>
      <c r="B192" s="18" t="n"/>
      <c r="C192" s="18" t="n"/>
      <c r="D192" s="18" t="n"/>
    </row>
    <row r="193" ht="15.75" customHeight="1" s="35">
      <c r="A193" s="18" t="n"/>
      <c r="B193" s="18" t="n"/>
      <c r="C193" s="18" t="n"/>
      <c r="D193" s="18" t="n"/>
    </row>
    <row r="194" ht="15.75" customHeight="1" s="35">
      <c r="A194" s="18" t="n"/>
      <c r="B194" s="18" t="n"/>
      <c r="C194" s="18" t="n"/>
      <c r="D194" s="18" t="n"/>
    </row>
    <row r="195" ht="15.75" customHeight="1" s="35">
      <c r="A195" s="18" t="n"/>
      <c r="B195" s="18" t="n"/>
      <c r="C195" s="18" t="n"/>
      <c r="D195" s="18" t="n"/>
    </row>
    <row r="196" ht="15.75" customHeight="1" s="35">
      <c r="A196" s="18" t="n"/>
      <c r="B196" s="18" t="n"/>
      <c r="C196" s="18" t="n"/>
      <c r="D196" s="18" t="n"/>
    </row>
    <row r="197" ht="15.75" customHeight="1" s="35">
      <c r="A197" s="18" t="n"/>
      <c r="B197" s="18" t="n"/>
      <c r="C197" s="18" t="n"/>
      <c r="D197" s="18" t="n"/>
    </row>
    <row r="198" ht="15.75" customHeight="1" s="35">
      <c r="A198" s="18" t="n"/>
      <c r="B198" s="18" t="n"/>
      <c r="C198" s="18" t="n"/>
      <c r="D198" s="18" t="n"/>
    </row>
    <row r="199" ht="15.75" customHeight="1" s="35">
      <c r="A199" s="18" t="n"/>
      <c r="B199" s="18" t="n"/>
      <c r="C199" s="18" t="n"/>
      <c r="D199" s="18" t="n"/>
    </row>
    <row r="200" ht="15.75" customHeight="1" s="35">
      <c r="A200" s="18" t="n"/>
      <c r="B200" s="18" t="n"/>
      <c r="C200" s="18" t="n"/>
      <c r="D200" s="18" t="n"/>
    </row>
    <row r="201" ht="15.75" customHeight="1" s="35">
      <c r="A201" s="18" t="n"/>
      <c r="B201" s="18" t="n"/>
      <c r="C201" s="18" t="n"/>
      <c r="D201" s="18" t="n"/>
    </row>
    <row r="202" ht="15.75" customHeight="1" s="35">
      <c r="A202" s="18" t="n"/>
      <c r="B202" s="18" t="n"/>
      <c r="C202" s="18" t="n"/>
      <c r="D202" s="18" t="n"/>
    </row>
    <row r="203" ht="15.75" customHeight="1" s="35">
      <c r="A203" s="18" t="n"/>
      <c r="B203" s="18" t="n"/>
      <c r="C203" s="18" t="n"/>
      <c r="D203" s="18" t="n"/>
    </row>
    <row r="204" ht="15.75" customHeight="1" s="35">
      <c r="A204" s="18" t="n"/>
      <c r="B204" s="18" t="n"/>
      <c r="C204" s="18" t="n"/>
      <c r="D204" s="18" t="n"/>
    </row>
    <row r="205" ht="15.75" customHeight="1" s="35">
      <c r="A205" s="18" t="n"/>
      <c r="B205" s="18" t="n"/>
      <c r="C205" s="18" t="n"/>
      <c r="D205" s="18" t="n"/>
    </row>
    <row r="206" ht="15.75" customHeight="1" s="35">
      <c r="A206" s="18" t="n"/>
      <c r="B206" s="18" t="n"/>
      <c r="C206" s="18" t="n"/>
      <c r="D206" s="18" t="n"/>
    </row>
    <row r="207" ht="15.75" customHeight="1" s="35">
      <c r="A207" s="18" t="n"/>
      <c r="B207" s="18" t="n"/>
      <c r="C207" s="18" t="n"/>
      <c r="D207" s="18" t="n"/>
    </row>
    <row r="208" ht="15.75" customHeight="1" s="35">
      <c r="A208" s="18" t="n"/>
      <c r="B208" s="18" t="n"/>
      <c r="C208" s="18" t="n"/>
      <c r="D208" s="18" t="n"/>
    </row>
    <row r="209" ht="15.75" customHeight="1" s="35">
      <c r="A209" s="18" t="n"/>
      <c r="B209" s="18" t="n"/>
      <c r="C209" s="18" t="n"/>
      <c r="D209" s="18" t="n"/>
    </row>
    <row r="210" ht="15.75" customHeight="1" s="35">
      <c r="A210" s="18" t="n"/>
      <c r="B210" s="18" t="n"/>
      <c r="C210" s="18" t="n"/>
      <c r="D210" s="18" t="n"/>
    </row>
    <row r="211" ht="15.75" customHeight="1" s="35">
      <c r="A211" s="18" t="n"/>
      <c r="B211" s="18" t="n"/>
      <c r="C211" s="18" t="n"/>
      <c r="D211" s="18" t="n"/>
    </row>
    <row r="212" ht="15.75" customHeight="1" s="35">
      <c r="A212" s="18" t="n"/>
      <c r="B212" s="18" t="n"/>
      <c r="C212" s="18" t="n"/>
      <c r="D212" s="18" t="n"/>
    </row>
    <row r="213" ht="15.75" customHeight="1" s="35">
      <c r="A213" s="18" t="n"/>
      <c r="B213" s="18" t="n"/>
      <c r="C213" s="18" t="n"/>
      <c r="D213" s="18" t="n"/>
    </row>
    <row r="214" ht="15.75" customHeight="1" s="35">
      <c r="A214" s="18" t="n"/>
      <c r="B214" s="18" t="n"/>
      <c r="C214" s="18" t="n"/>
      <c r="D214" s="18" t="n"/>
    </row>
    <row r="215" ht="15.75" customHeight="1" s="35">
      <c r="A215" s="18" t="n"/>
      <c r="B215" s="18" t="n"/>
      <c r="C215" s="18" t="n"/>
      <c r="D215" s="18" t="n"/>
    </row>
    <row r="216" ht="15.75" customHeight="1" s="35">
      <c r="A216" s="18" t="n"/>
      <c r="B216" s="18" t="n"/>
      <c r="C216" s="18" t="n"/>
      <c r="D216" s="18" t="n"/>
    </row>
    <row r="217" ht="15.75" customHeight="1" s="35">
      <c r="A217" s="18" t="n"/>
      <c r="B217" s="18" t="n"/>
      <c r="C217" s="18" t="n"/>
      <c r="D217" s="18" t="n"/>
    </row>
    <row r="218" ht="15.75" customHeight="1" s="35">
      <c r="A218" s="18" t="n"/>
      <c r="B218" s="18" t="n"/>
      <c r="C218" s="18" t="n"/>
      <c r="D218" s="18" t="n"/>
    </row>
    <row r="219" ht="15.75" customHeight="1" s="35">
      <c r="A219" s="18" t="n"/>
      <c r="B219" s="18" t="n"/>
      <c r="C219" s="18" t="n"/>
      <c r="D219" s="18" t="n"/>
    </row>
    <row r="220" ht="15.75" customHeight="1" s="35">
      <c r="A220" s="18" t="n"/>
      <c r="B220" s="18" t="n"/>
      <c r="C220" s="18" t="n"/>
      <c r="D220" s="18" t="n"/>
    </row>
    <row r="221" ht="15.75" customHeight="1" s="35">
      <c r="A221" s="18" t="n"/>
      <c r="B221" s="18" t="n"/>
      <c r="C221" s="18" t="n"/>
      <c r="D221" s="18" t="n"/>
    </row>
    <row r="222" ht="15.75" customHeight="1" s="35">
      <c r="A222" s="18" t="n"/>
      <c r="B222" s="18" t="n"/>
      <c r="C222" s="18" t="n"/>
      <c r="D222" s="18" t="n"/>
    </row>
    <row r="223" ht="15.75" customHeight="1" s="35">
      <c r="A223" s="18" t="n"/>
      <c r="B223" s="18" t="n"/>
      <c r="C223" s="18" t="n"/>
      <c r="D223" s="18" t="n"/>
    </row>
    <row r="224" ht="15.75" customHeight="1" s="35">
      <c r="A224" s="18" t="n"/>
      <c r="B224" s="18" t="n"/>
      <c r="C224" s="18" t="n"/>
      <c r="D224" s="18" t="n"/>
    </row>
    <row r="225" ht="15.75" customHeight="1" s="35">
      <c r="A225" s="18" t="n"/>
      <c r="B225" s="18" t="n"/>
      <c r="C225" s="18" t="n"/>
      <c r="D225" s="18" t="n"/>
    </row>
    <row r="226" ht="15.75" customHeight="1" s="35">
      <c r="A226" s="18" t="n"/>
      <c r="B226" s="18" t="n"/>
      <c r="C226" s="18" t="n"/>
      <c r="D226" s="18" t="n"/>
    </row>
    <row r="227" ht="15.75" customHeight="1" s="35">
      <c r="A227" s="18" t="n"/>
      <c r="B227" s="18" t="n"/>
      <c r="C227" s="18" t="n"/>
      <c r="D227" s="18" t="n"/>
    </row>
    <row r="228" ht="15.75" customHeight="1" s="35">
      <c r="A228" s="18" t="n"/>
      <c r="B228" s="18" t="n"/>
      <c r="C228" s="18" t="n"/>
      <c r="D228" s="18" t="n"/>
    </row>
    <row r="229" ht="15.75" customHeight="1" s="35">
      <c r="A229" s="18" t="n"/>
      <c r="B229" s="18" t="n"/>
      <c r="C229" s="18" t="n"/>
      <c r="D229" s="18" t="n"/>
    </row>
    <row r="230" ht="15.75" customHeight="1" s="35">
      <c r="A230" s="18" t="n"/>
      <c r="B230" s="18" t="n"/>
      <c r="C230" s="18" t="n"/>
      <c r="D230" s="18" t="n"/>
    </row>
    <row r="231" ht="15.75" customHeight="1" s="35">
      <c r="A231" s="18" t="n"/>
      <c r="B231" s="18" t="n"/>
      <c r="C231" s="18" t="n"/>
      <c r="D231" s="18" t="n"/>
    </row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3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5" min="1" max="1"/>
    <col width="14" customWidth="1" style="35" min="2" max="2"/>
    <col width="22" customWidth="1" style="35" min="3" max="3"/>
    <col width="70" customWidth="1" style="35" min="4" max="4"/>
    <col width="8.710000000000001" customWidth="1" style="35" min="5" max="21"/>
  </cols>
  <sheetData>
    <row r="1" ht="24" customHeight="1" s="35">
      <c r="A1" s="1" t="inlineStr">
        <is>
          <t>Calendar — every night verified</t>
        </is>
      </c>
    </row>
    <row r="2" ht="18" customHeight="1" s="35">
      <c r="A2" s="2" t="inlineStr">
        <is>
          <t>25 nights · Sat 11 Jul → Tue 4 Aug</t>
        </is>
      </c>
    </row>
    <row r="3">
      <c r="A3" s="18" t="n"/>
      <c r="B3" s="18" t="n"/>
      <c r="C3" s="18" t="n"/>
      <c r="D3" s="18" t="n"/>
    </row>
    <row r="4" ht="15" customHeight="1" s="35">
      <c r="A4" s="4" t="inlineStr">
        <is>
          <t>Night</t>
        </is>
      </c>
      <c r="B4" s="4" t="inlineStr">
        <is>
          <t>Date</t>
        </is>
      </c>
      <c r="C4" s="4" t="inlineStr">
        <is>
          <t>Sleep In</t>
        </is>
      </c>
      <c r="D4" s="4" t="inlineStr">
        <is>
          <t>Key Activity / Travel</t>
        </is>
      </c>
    </row>
    <row r="5" ht="15" customHeight="1" s="35">
      <c r="A5" s="17" t="n">
        <v>1</v>
      </c>
      <c r="B5" s="17" t="inlineStr">
        <is>
          <t>Sat 11 Jul</t>
        </is>
      </c>
      <c r="C5" s="17" t="inlineStr">
        <is>
          <t>Burg Altpernstein 🇦🇹</t>
        </is>
      </c>
      <c r="D5" s="17" t="inlineStr">
        <is>
          <t>Land MUC 07:05 · collect car · drive ~3hrs direct to Austrian castle hotel · Saturday Vigil Mass option (Spital am Pyhrn 7 PM)</t>
        </is>
      </c>
    </row>
    <row r="6" ht="15" customHeight="1" s="35">
      <c r="A6" s="17" t="n">
        <v>2</v>
      </c>
      <c r="B6" s="17" t="inlineStr">
        <is>
          <t>Sun 12 Jul</t>
        </is>
      </c>
      <c r="C6" s="17" t="inlineStr">
        <is>
          <t>Burg Altpernstein 🇦🇹</t>
        </is>
      </c>
      <c r="D6" s="17" t="inlineStr">
        <is>
          <t>Sunday Mass at Spital am Pyhrn 9 AM · day trip to Hallstatt (~1.5 hrs each way) optional · castle relax</t>
        </is>
      </c>
    </row>
    <row r="7" ht="15" customHeight="1" s="35">
      <c r="A7" s="17" t="n">
        <v>3</v>
      </c>
      <c r="B7" s="17" t="inlineStr">
        <is>
          <t>Mon 13 Jul</t>
        </is>
      </c>
      <c r="C7" s="17" t="inlineStr">
        <is>
          <t>Prague</t>
        </is>
      </c>
      <c r="D7" s="17" t="inlineStr">
        <is>
          <t>Long drive Hallstatt→Prague · Start 08:00</t>
        </is>
      </c>
    </row>
    <row r="8" ht="15" customHeight="1" s="35">
      <c r="A8" s="17" t="n">
        <v>4</v>
      </c>
      <c r="B8" s="17" t="inlineStr">
        <is>
          <t>Tue 14 Jul</t>
        </is>
      </c>
      <c r="C8" s="17" t="inlineStr">
        <is>
          <t>Prague</t>
        </is>
      </c>
      <c r="D8" s="17" t="inlineStr">
        <is>
          <t>Prague full day · Castle · Jewish Quarter · river cruise</t>
        </is>
      </c>
    </row>
    <row r="9" ht="15" customHeight="1" s="35">
      <c r="A9" s="17" t="n">
        <v>5</v>
      </c>
      <c r="B9" s="17" t="inlineStr">
        <is>
          <t>Wed 15 Jul</t>
        </is>
      </c>
      <c r="C9" s="17" t="inlineStr">
        <is>
          <t>Vienna</t>
        </is>
      </c>
      <c r="D9" s="17" t="inlineStr">
        <is>
          <t>Prague→Vienna · Schönbrunn · Naschmarkt · Sachertorte</t>
        </is>
      </c>
    </row>
    <row r="10" ht="15" customHeight="1" s="35">
      <c r="A10" s="17" t="n">
        <v>6</v>
      </c>
      <c r="B10" s="17" t="inlineStr">
        <is>
          <t>Thu 16 Jul</t>
        </is>
      </c>
      <c r="C10" s="17" t="inlineStr">
        <is>
          <t>Budapest</t>
        </is>
      </c>
      <c r="D10" s="17" t="inlineStr">
        <is>
          <t>Vienna→Budapest · Széchenyi Thermal Baths</t>
        </is>
      </c>
    </row>
    <row r="11" ht="15" customHeight="1" s="35">
      <c r="A11" s="17" t="n">
        <v>7</v>
      </c>
      <c r="B11" s="17" t="inlineStr">
        <is>
          <t>Fri 17 Jul</t>
        </is>
      </c>
      <c r="C11" s="17" t="inlineStr">
        <is>
          <t>Venice</t>
        </is>
      </c>
      <c r="D11" s="17" t="inlineStr">
        <is>
          <t>Budapest→Bled 2.5hr stop→Venice · Start 07:30</t>
        </is>
      </c>
    </row>
    <row r="12" ht="15" customHeight="1" s="35">
      <c r="A12" s="17" t="n">
        <v>8</v>
      </c>
      <c r="B12" s="17" t="inlineStr">
        <is>
          <t>Sat 18 Jul</t>
        </is>
      </c>
      <c r="C12" s="17" t="inlineStr">
        <is>
          <t>Venice</t>
        </is>
      </c>
      <c r="D12" s="17" t="inlineStr">
        <is>
          <t>Venice full day · gondola · Burano island</t>
        </is>
      </c>
      <c r="U12" s="18" t="inlineStr">
        <is>
          <t xml:space="preserve"> එ,,අං,,එ,/, </t>
        </is>
      </c>
    </row>
    <row r="13" ht="15" customHeight="1" s="35">
      <c r="A13" s="17" t="n">
        <v>9</v>
      </c>
      <c r="B13" s="17" t="inlineStr">
        <is>
          <t>Sun 19 Jul</t>
        </is>
      </c>
      <c r="C13" s="17" t="inlineStr">
        <is>
          <t>Florence</t>
        </is>
      </c>
      <c r="D13" s="17" t="inlineStr">
        <is>
          <t>Venice→Florence · Ponte Vecchio · Piazzale Michelangelo</t>
        </is>
      </c>
    </row>
    <row r="14" ht="15" customHeight="1" s="35">
      <c r="A14" s="17" t="n">
        <v>10</v>
      </c>
      <c r="B14" s="17" t="inlineStr">
        <is>
          <t>Mon 20 Jul</t>
        </is>
      </c>
      <c r="C14" s="17" t="inlineStr">
        <is>
          <t>Rome</t>
        </is>
      </c>
      <c r="D14" s="17" t="inlineStr">
        <is>
          <t>Florence→Pisa stop→Rome · Colosseum · Trastevere</t>
        </is>
      </c>
    </row>
    <row r="15" ht="15" customHeight="1" s="35">
      <c r="A15" s="17" t="n">
        <v>11</v>
      </c>
      <c r="B15" s="17" t="inlineStr">
        <is>
          <t>Tue 21 Jul</t>
        </is>
      </c>
      <c r="C15" s="17" t="inlineStr">
        <is>
          <t>Rome</t>
        </is>
      </c>
      <c r="D15" s="17" t="inlineStr">
        <is>
          <t>Pompeii + Naples day trip from Rome base · Start 08:00</t>
        </is>
      </c>
    </row>
    <row r="16" ht="15" customHeight="1" s="35">
      <c r="A16" s="17" t="n">
        <v>12</v>
      </c>
      <c r="B16" s="17" t="inlineStr">
        <is>
          <t>Wed 22 Jul</t>
        </is>
      </c>
      <c r="C16" s="17" t="inlineStr">
        <is>
          <t>Rome</t>
        </is>
      </c>
      <c r="D16" s="17" t="inlineStr">
        <is>
          <t>Vatican full day · pre-book essential · depart 07:00</t>
        </is>
      </c>
    </row>
    <row r="17" ht="15" customHeight="1" s="35">
      <c r="A17" s="17" t="n">
        <v>13</v>
      </c>
      <c r="B17" s="17" t="inlineStr">
        <is>
          <t>Thu 23 Jul</t>
        </is>
      </c>
      <c r="C17" s="17" t="inlineStr">
        <is>
          <t>Milan</t>
        </is>
      </c>
      <c r="D17" s="17" t="inlineStr">
        <is>
          <t>Rome→Florence stop→Milan · Start 07:30</t>
        </is>
      </c>
    </row>
    <row r="18" ht="15" customHeight="1" s="35">
      <c r="A18" s="17" t="n">
        <v>14</v>
      </c>
      <c r="B18" s="17" t="inlineStr">
        <is>
          <t>Fri 24 Jul</t>
        </is>
      </c>
      <c r="C18" s="17" t="inlineStr">
        <is>
          <t>Stalden 🇨🇭</t>
        </is>
      </c>
      <c r="D18" s="17" t="inlineStr">
        <is>
          <t>Milan half-day (Duomo, Galleria, Brera) → drive Stalden via Simplon</t>
        </is>
      </c>
    </row>
    <row r="19" ht="15" customHeight="1" s="35">
      <c r="A19" s="17" t="n">
        <v>15</v>
      </c>
      <c r="B19" s="17" t="inlineStr">
        <is>
          <t>Sat 25 Jul</t>
        </is>
      </c>
      <c r="C19" s="17" t="inlineStr">
        <is>
          <t>Moléson-sur-Gruyères 🇨🇭</t>
        </is>
      </c>
      <c r="D19" s="17" t="inlineStr">
        <is>
          <t>Gornergrat AM (train Stalden→Zermatt) · drive PM to Moléson</t>
        </is>
      </c>
    </row>
    <row r="20" ht="15" customHeight="1" s="35">
      <c r="A20" s="17" t="n">
        <v>16</v>
      </c>
      <c r="B20" s="17" t="inlineStr">
        <is>
          <t>Sun 26 Jul</t>
        </is>
      </c>
      <c r="C20" s="17" t="inlineStr">
        <is>
          <t>Moléson-sur-Gruyères 🇨🇭</t>
        </is>
      </c>
      <c r="D20" s="17" t="inlineStr">
        <is>
          <t>Geneva Sunday: 10:15 Mass at Notre-Dame · Old Town · Jet d'Eau · lake</t>
        </is>
      </c>
    </row>
    <row r="21" ht="15" customHeight="1" s="35">
      <c r="A21" s="17" t="n">
        <v>17</v>
      </c>
      <c r="B21" s="17" t="inlineStr">
        <is>
          <t>Mon 27 Jul</t>
        </is>
      </c>
      <c r="C21" s="17" t="inlineStr">
        <is>
          <t>Zürich</t>
        </is>
      </c>
      <c r="D21" s="17" t="inlineStr">
        <is>
          <t>Moléson → Bern stop (Zytglogge, Bear Park) → Zürich</t>
        </is>
      </c>
    </row>
    <row r="22" ht="15" customHeight="1" s="35">
      <c r="A22" s="17" t="n">
        <v>18</v>
      </c>
      <c r="B22" s="17" t="inlineStr">
        <is>
          <t>Tue 28 Jul</t>
        </is>
      </c>
      <c r="C22" s="17" t="inlineStr">
        <is>
          <t>Paris</t>
        </is>
      </c>
      <c r="D22" s="17" t="inlineStr">
        <is>
          <t>Zürich→Munich drop car→fly Paris · arrive afternoon</t>
        </is>
      </c>
    </row>
    <row r="23" ht="15" customHeight="1" s="35">
      <c r="A23" s="17" t="n">
        <v>19</v>
      </c>
      <c r="B23" s="17" t="inlineStr">
        <is>
          <t>Wed 29 Jul</t>
        </is>
      </c>
      <c r="C23" s="17" t="inlineStr">
        <is>
          <t>Lourdes</t>
        </is>
      </c>
      <c r="D23" s="17" t="inlineStr">
        <is>
          <t>TGV Paris 08:00→Lourdes · Sanctuary · Torch Procession</t>
        </is>
      </c>
    </row>
    <row r="24" ht="26.25" customHeight="1" s="35">
      <c r="A24" s="7" t="n">
        <v>20</v>
      </c>
      <c r="B24" s="7" t="inlineStr">
        <is>
          <t>Thu 30 Jul</t>
        </is>
      </c>
      <c r="C24" s="7" t="inlineStr">
        <is>
          <t>Amsterdam ✓</t>
        </is>
      </c>
      <c r="D24" s="7" t="inlineStr">
        <is>
          <t>TGV Lourdes 08:00→Paris 13:00 · taxi 40min → Thalys 14:13→Amsterdam 17:32</t>
        </is>
      </c>
    </row>
    <row r="25" ht="15" customHeight="1" s="35">
      <c r="A25" s="17" t="n">
        <v>21</v>
      </c>
      <c r="B25" s="17" t="inlineStr">
        <is>
          <t>Fri 31 Jul</t>
        </is>
      </c>
      <c r="C25" s="17" t="inlineStr">
        <is>
          <t>Berlin</t>
        </is>
      </c>
      <c r="D25" s="17" t="inlineStr">
        <is>
          <t>Train Amsterdam→Berlin · arrive ~15:00 · East Side Gallery</t>
        </is>
      </c>
    </row>
    <row r="26" ht="15" customHeight="1" s="35">
      <c r="A26" s="17" t="n">
        <v>22</v>
      </c>
      <c r="B26" s="17" t="inlineStr">
        <is>
          <t>Sat 1 Aug</t>
        </is>
      </c>
      <c r="C26" s="17" t="inlineStr">
        <is>
          <t>Berlin</t>
        </is>
      </c>
      <c r="D26" s="17" t="inlineStr">
        <is>
          <t>Berlin full day · Reichstag · Holocaust Memorial · Museum Island</t>
        </is>
      </c>
    </row>
    <row r="27" ht="15" customHeight="1" s="35">
      <c r="A27" s="7" t="n">
        <v>23</v>
      </c>
      <c r="B27" s="7" t="inlineStr">
        <is>
          <t>Sun 2 Aug</t>
        </is>
      </c>
      <c r="C27" s="7" t="inlineStr">
        <is>
          <t>Copenhagen ✓</t>
        </is>
      </c>
      <c r="D27" s="7" t="inlineStr">
        <is>
          <t>Fly Berlin→Copenhagen · Nyhavn · Tivoli Gardens</t>
        </is>
      </c>
    </row>
    <row r="28" ht="15" customHeight="1" s="35">
      <c r="A28" s="8" t="n">
        <v>24</v>
      </c>
      <c r="B28" s="8" t="inlineStr">
        <is>
          <t>Mon 3 Aug</t>
        </is>
      </c>
      <c r="C28" s="8" t="inlineStr">
        <is>
          <t>Gothenburg 💙 N1</t>
        </is>
      </c>
      <c r="D28" s="8" t="inlineStr">
        <is>
          <t>Train Copenhagen→Gothenburg · meet sister · harbour dinner</t>
        </is>
      </c>
    </row>
    <row r="29" ht="15" customHeight="1" s="35">
      <c r="A29" s="8" t="n">
        <v>25</v>
      </c>
      <c r="B29" s="8" t="inlineStr">
        <is>
          <t>Tue 4 Aug</t>
        </is>
      </c>
      <c r="C29" s="8" t="inlineStr">
        <is>
          <t>Gothenburg 💙 N2</t>
        </is>
      </c>
      <c r="D29" s="8" t="inlineStr">
        <is>
          <t>Full day with sister · Liseberg · Haga · Archipelago</t>
        </is>
      </c>
    </row>
    <row r="30" ht="26.25" customHeight="1" s="35">
      <c r="A30" s="9" t="inlineStr">
        <is>
          <t>—</t>
        </is>
      </c>
      <c r="B30" s="9" t="inlineStr">
        <is>
          <t>Wed 5 Aug</t>
        </is>
      </c>
      <c r="C30" s="9" t="inlineStr">
        <is>
          <t>Munich day room</t>
        </is>
      </c>
      <c r="D30" s="9" t="inlineStr">
        <is>
          <t>Fly GOT→MUC 06:30 · land 08:30 · Novotel day room · explore Munich · airport by 21:00</t>
        </is>
      </c>
    </row>
    <row r="31" ht="15" customHeight="1" s="35">
      <c r="A31" s="9" t="inlineStr">
        <is>
          <t>—</t>
        </is>
      </c>
      <c r="B31" s="9" t="inlineStr">
        <is>
          <t>Thu 6 Aug</t>
        </is>
      </c>
      <c r="C31" s="9" t="inlineStr">
        <is>
          <t>Depart CA962 13:00</t>
        </is>
      </c>
      <c r="D31" s="9" t="inlineStr">
        <is>
          <t>Check-in MUC T2 by 10:30 · board 11:00 · depart 13:00 → Beijing</t>
        </is>
      </c>
    </row>
    <row r="32" ht="15" customHeight="1" s="35">
      <c r="A32" s="9" t="inlineStr">
        <is>
          <t>—</t>
        </is>
      </c>
      <c r="B32" s="9" t="inlineStr">
        <is>
          <t>Sat 8 Aug</t>
        </is>
      </c>
      <c r="C32" s="9" t="inlineStr">
        <is>
          <t>Auckland 🏠</t>
        </is>
      </c>
      <c r="D32" s="9" t="inlineStr">
        <is>
          <t>CA783 arrives AKL 16:30 · Great Wall done · home</t>
        </is>
      </c>
    </row>
    <row r="33" ht="15" customHeight="1" s="35">
      <c r="A33" s="10" t="inlineStr">
        <is>
          <t>TOTAL</t>
        </is>
      </c>
      <c r="B33" s="10">
        <f>COUNT(A5:A29)</f>
        <v/>
      </c>
      <c r="C33" s="10" t="inlineStr">
        <is>
          <t>nights confirmed</t>
        </is>
      </c>
      <c r="D33" s="10" t="inlineStr">
        <is>
          <t>Arrive Munich 11 Jul · Last sleep Gothenburg 4 Aug · Depart MUC 6 Aug 13:00</t>
        </is>
      </c>
    </row>
    <row r="34" ht="15.75" customHeight="1" s="35">
      <c r="A34" s="18" t="n"/>
      <c r="B34" s="18" t="n"/>
      <c r="C34" s="18" t="n"/>
      <c r="D34" s="18" t="n"/>
    </row>
    <row r="35" ht="15.75" customHeight="1" s="35">
      <c r="A35" s="18" t="n"/>
      <c r="B35" s="18" t="n"/>
      <c r="C35" s="18" t="n"/>
      <c r="D35" s="18" t="n"/>
    </row>
    <row r="36" ht="15.75" customHeight="1" s="35">
      <c r="A36" s="18" t="n"/>
      <c r="B36" s="18" t="n"/>
      <c r="C36" s="18" t="n"/>
      <c r="D36" s="18" t="n"/>
    </row>
    <row r="37" ht="15.75" customHeight="1" s="35">
      <c r="A37" s="18" t="n"/>
      <c r="B37" s="18" t="n"/>
      <c r="C37" s="18" t="n"/>
      <c r="D37" s="18" t="n"/>
    </row>
    <row r="38" ht="15.75" customHeight="1" s="35">
      <c r="A38" s="18" t="n"/>
      <c r="B38" s="18" t="n"/>
      <c r="C38" s="18" t="n"/>
      <c r="D38" s="18" t="n"/>
    </row>
    <row r="39" ht="15.75" customHeight="1" s="35">
      <c r="A39" s="18" t="n"/>
      <c r="B39" s="18" t="n"/>
      <c r="C39" s="18" t="n"/>
      <c r="D39" s="18" t="n"/>
    </row>
    <row r="40" ht="15.75" customHeight="1" s="35">
      <c r="A40" s="18" t="n"/>
      <c r="B40" s="18" t="n"/>
      <c r="C40" s="18" t="n"/>
      <c r="D40" s="18" t="n"/>
    </row>
    <row r="41" ht="15.75" customHeight="1" s="35">
      <c r="A41" s="18" t="n"/>
      <c r="B41" s="18" t="n"/>
      <c r="C41" s="18" t="n"/>
      <c r="D41" s="18" t="n"/>
    </row>
    <row r="42" ht="15.75" customHeight="1" s="35">
      <c r="A42" s="18" t="n"/>
      <c r="B42" s="18" t="n"/>
      <c r="C42" s="18" t="n"/>
      <c r="D42" s="18" t="n"/>
    </row>
    <row r="43" ht="15.75" customHeight="1" s="35">
      <c r="A43" s="18" t="n"/>
      <c r="B43" s="18" t="n"/>
      <c r="C43" s="18" t="n"/>
      <c r="D43" s="18" t="n"/>
    </row>
    <row r="44" ht="15.75" customHeight="1" s="35">
      <c r="A44" s="18" t="n"/>
      <c r="B44" s="18" t="n"/>
      <c r="C44" s="18" t="n"/>
      <c r="D44" s="18" t="n"/>
    </row>
    <row r="45" ht="15.75" customHeight="1" s="35">
      <c r="A45" s="18" t="n"/>
      <c r="B45" s="18" t="n"/>
      <c r="C45" s="18" t="n"/>
      <c r="D45" s="18" t="n"/>
    </row>
    <row r="46" ht="15.75" customHeight="1" s="35">
      <c r="A46" s="18" t="n"/>
      <c r="B46" s="18" t="n"/>
      <c r="C46" s="18" t="n"/>
      <c r="D46" s="18" t="n"/>
    </row>
    <row r="47" ht="15.75" customHeight="1" s="35">
      <c r="A47" s="18" t="n"/>
      <c r="B47" s="18" t="n"/>
      <c r="C47" s="18" t="n"/>
      <c r="D47" s="18" t="n"/>
    </row>
    <row r="48" ht="15.75" customHeight="1" s="35">
      <c r="A48" s="18" t="n"/>
      <c r="B48" s="18" t="n"/>
      <c r="C48" s="18" t="n"/>
      <c r="D48" s="18" t="n"/>
    </row>
    <row r="49" ht="15.75" customHeight="1" s="35">
      <c r="A49" s="18" t="n"/>
      <c r="B49" s="18" t="n"/>
      <c r="C49" s="18" t="n"/>
      <c r="D49" s="18" t="n"/>
    </row>
    <row r="50" ht="15.75" customHeight="1" s="35">
      <c r="A50" s="18" t="n"/>
      <c r="B50" s="18" t="n"/>
      <c r="C50" s="18" t="n"/>
      <c r="D50" s="18" t="n"/>
    </row>
    <row r="51" ht="15.75" customHeight="1" s="35">
      <c r="A51" s="18" t="n"/>
      <c r="B51" s="18" t="n"/>
      <c r="C51" s="18" t="n"/>
      <c r="D51" s="18" t="n"/>
    </row>
    <row r="52" ht="15.75" customHeight="1" s="35">
      <c r="A52" s="18" t="n"/>
      <c r="B52" s="18" t="n"/>
      <c r="C52" s="18" t="n"/>
      <c r="D52" s="18" t="n"/>
    </row>
    <row r="53" ht="15.75" customHeight="1" s="35">
      <c r="A53" s="18" t="n"/>
      <c r="B53" s="18" t="n"/>
      <c r="C53" s="18" t="n"/>
      <c r="D53" s="18" t="n"/>
    </row>
    <row r="54" ht="15.75" customHeight="1" s="35">
      <c r="A54" s="18" t="n"/>
      <c r="B54" s="18" t="n"/>
      <c r="C54" s="18" t="n"/>
      <c r="D54" s="18" t="n"/>
    </row>
    <row r="55" ht="15.75" customHeight="1" s="35">
      <c r="A55" s="18" t="n"/>
      <c r="B55" s="18" t="n"/>
      <c r="C55" s="18" t="n"/>
      <c r="D55" s="18" t="n"/>
    </row>
    <row r="56" ht="15.75" customHeight="1" s="35">
      <c r="A56" s="18" t="n"/>
      <c r="B56" s="18" t="n"/>
      <c r="C56" s="18" t="n"/>
      <c r="D56" s="18" t="n"/>
    </row>
    <row r="57" ht="15.75" customHeight="1" s="35">
      <c r="A57" s="18" t="n"/>
      <c r="B57" s="18" t="n"/>
      <c r="C57" s="18" t="n"/>
      <c r="D57" s="18" t="n"/>
    </row>
    <row r="58" ht="15.75" customHeight="1" s="35">
      <c r="A58" s="18" t="n"/>
      <c r="B58" s="18" t="n"/>
      <c r="C58" s="18" t="n"/>
      <c r="D58" s="18" t="n"/>
    </row>
    <row r="59" ht="15.75" customHeight="1" s="35">
      <c r="A59" s="18" t="n"/>
      <c r="B59" s="18" t="n"/>
      <c r="C59" s="18" t="n"/>
      <c r="D59" s="18" t="n"/>
    </row>
    <row r="60" ht="15.75" customHeight="1" s="35">
      <c r="A60" s="18" t="n"/>
      <c r="B60" s="18" t="n"/>
      <c r="C60" s="18" t="n"/>
      <c r="D60" s="18" t="n"/>
    </row>
    <row r="61" ht="15.75" customHeight="1" s="35">
      <c r="A61" s="18" t="n"/>
      <c r="B61" s="18" t="n"/>
      <c r="C61" s="18" t="n"/>
      <c r="D61" s="18" t="n"/>
    </row>
    <row r="62" ht="15.75" customHeight="1" s="35">
      <c r="A62" s="18" t="n"/>
      <c r="B62" s="18" t="n"/>
      <c r="C62" s="18" t="n"/>
      <c r="D62" s="18" t="n"/>
    </row>
    <row r="63" ht="15.75" customHeight="1" s="35">
      <c r="A63" s="18" t="n"/>
      <c r="B63" s="18" t="n"/>
      <c r="C63" s="18" t="n"/>
      <c r="D63" s="18" t="n"/>
    </row>
    <row r="64" ht="15.75" customHeight="1" s="35">
      <c r="A64" s="18" t="n"/>
      <c r="B64" s="18" t="n"/>
      <c r="C64" s="18" t="n"/>
      <c r="D64" s="18" t="n"/>
    </row>
    <row r="65" ht="15.75" customHeight="1" s="35">
      <c r="A65" s="18" t="n"/>
      <c r="B65" s="18" t="n"/>
      <c r="C65" s="18" t="n"/>
      <c r="D65" s="18" t="n"/>
    </row>
    <row r="66" ht="15.75" customHeight="1" s="35">
      <c r="A66" s="18" t="n"/>
      <c r="B66" s="18" t="n"/>
      <c r="C66" s="18" t="n"/>
      <c r="D66" s="18" t="n"/>
    </row>
    <row r="67" ht="15.75" customHeight="1" s="35">
      <c r="A67" s="18" t="n"/>
      <c r="B67" s="18" t="n"/>
      <c r="C67" s="18" t="n"/>
      <c r="D67" s="18" t="n"/>
    </row>
    <row r="68" ht="15.75" customHeight="1" s="35">
      <c r="A68" s="18" t="n"/>
      <c r="B68" s="18" t="n"/>
      <c r="C68" s="18" t="n"/>
      <c r="D68" s="18" t="n"/>
    </row>
    <row r="69" ht="15.75" customHeight="1" s="35">
      <c r="A69" s="18" t="n"/>
      <c r="B69" s="18" t="n"/>
      <c r="C69" s="18" t="n"/>
      <c r="D69" s="18" t="n"/>
    </row>
    <row r="70" ht="15.75" customHeight="1" s="35">
      <c r="A70" s="18" t="n"/>
      <c r="B70" s="18" t="n"/>
      <c r="C70" s="18" t="n"/>
      <c r="D70" s="18" t="n"/>
    </row>
    <row r="71" ht="15.75" customHeight="1" s="35">
      <c r="A71" s="18" t="n"/>
      <c r="B71" s="18" t="n"/>
      <c r="C71" s="18" t="n"/>
      <c r="D71" s="18" t="n"/>
    </row>
    <row r="72" ht="15.75" customHeight="1" s="35">
      <c r="A72" s="18" t="n"/>
      <c r="B72" s="18" t="n"/>
      <c r="C72" s="18" t="n"/>
      <c r="D72" s="18" t="n"/>
    </row>
    <row r="73" ht="15.75" customHeight="1" s="35">
      <c r="A73" s="18" t="n"/>
      <c r="B73" s="18" t="n"/>
      <c r="C73" s="18" t="n"/>
      <c r="D73" s="18" t="n"/>
    </row>
    <row r="74" ht="15.75" customHeight="1" s="35">
      <c r="A74" s="18" t="n"/>
      <c r="B74" s="18" t="n"/>
      <c r="C74" s="18" t="n"/>
      <c r="D74" s="18" t="n"/>
    </row>
    <row r="75" ht="15.75" customHeight="1" s="35">
      <c r="A75" s="18" t="n"/>
      <c r="B75" s="18" t="n"/>
      <c r="C75" s="18" t="n"/>
      <c r="D75" s="18" t="n"/>
    </row>
    <row r="76" ht="15.75" customHeight="1" s="35">
      <c r="A76" s="18" t="n"/>
      <c r="B76" s="18" t="n"/>
      <c r="C76" s="18" t="n"/>
      <c r="D76" s="18" t="n"/>
    </row>
    <row r="77" ht="15.75" customHeight="1" s="35">
      <c r="A77" s="18" t="n"/>
      <c r="B77" s="18" t="n"/>
      <c r="C77" s="18" t="n"/>
      <c r="D77" s="18" t="n"/>
    </row>
    <row r="78" ht="15.75" customHeight="1" s="35">
      <c r="A78" s="18" t="n"/>
      <c r="B78" s="18" t="n"/>
      <c r="C78" s="18" t="n"/>
      <c r="D78" s="18" t="n"/>
    </row>
    <row r="79" ht="15.75" customHeight="1" s="35">
      <c r="A79" s="18" t="n"/>
      <c r="B79" s="18" t="n"/>
      <c r="C79" s="18" t="n"/>
      <c r="D79" s="18" t="n"/>
    </row>
    <row r="80" ht="15.75" customHeight="1" s="35">
      <c r="A80" s="18" t="n"/>
      <c r="B80" s="18" t="n"/>
      <c r="C80" s="18" t="n"/>
      <c r="D80" s="18" t="n"/>
    </row>
    <row r="81" ht="15.75" customHeight="1" s="35">
      <c r="A81" s="18" t="n"/>
      <c r="B81" s="18" t="n"/>
      <c r="C81" s="18" t="n"/>
      <c r="D81" s="18" t="n"/>
    </row>
    <row r="82" ht="15.75" customHeight="1" s="35">
      <c r="A82" s="18" t="n"/>
      <c r="B82" s="18" t="n"/>
      <c r="C82" s="18" t="n"/>
      <c r="D82" s="18" t="n"/>
    </row>
    <row r="83" ht="15.75" customHeight="1" s="35">
      <c r="A83" s="18" t="n"/>
      <c r="B83" s="18" t="n"/>
      <c r="C83" s="18" t="n"/>
      <c r="D83" s="18" t="n"/>
    </row>
    <row r="84" ht="15.75" customHeight="1" s="35">
      <c r="A84" s="18" t="n"/>
      <c r="B84" s="18" t="n"/>
      <c r="C84" s="18" t="n"/>
      <c r="D84" s="18" t="n"/>
    </row>
    <row r="85" ht="15.75" customHeight="1" s="35">
      <c r="A85" s="18" t="n"/>
      <c r="B85" s="18" t="n"/>
      <c r="C85" s="18" t="n"/>
      <c r="D85" s="18" t="n"/>
    </row>
    <row r="86" ht="15.75" customHeight="1" s="35">
      <c r="A86" s="18" t="n"/>
      <c r="B86" s="18" t="n"/>
      <c r="C86" s="18" t="n"/>
      <c r="D86" s="18" t="n"/>
    </row>
    <row r="87" ht="15.75" customHeight="1" s="35">
      <c r="A87" s="18" t="n"/>
      <c r="B87" s="18" t="n"/>
      <c r="C87" s="18" t="n"/>
      <c r="D87" s="18" t="n"/>
    </row>
    <row r="88" ht="15.75" customHeight="1" s="35">
      <c r="A88" s="18" t="n"/>
      <c r="B88" s="18" t="n"/>
      <c r="C88" s="18" t="n"/>
      <c r="D88" s="18" t="n"/>
    </row>
    <row r="89" ht="15.75" customHeight="1" s="35">
      <c r="A89" s="18" t="n"/>
      <c r="B89" s="18" t="n"/>
      <c r="C89" s="18" t="n"/>
      <c r="D89" s="18" t="n"/>
    </row>
    <row r="90" ht="15.75" customHeight="1" s="35">
      <c r="A90" s="18" t="n"/>
      <c r="B90" s="18" t="n"/>
      <c r="C90" s="18" t="n"/>
      <c r="D90" s="18" t="n"/>
    </row>
    <row r="91" ht="15.75" customHeight="1" s="35">
      <c r="A91" s="18" t="n"/>
      <c r="B91" s="18" t="n"/>
      <c r="C91" s="18" t="n"/>
      <c r="D91" s="18" t="n"/>
    </row>
    <row r="92" ht="15.75" customHeight="1" s="35">
      <c r="A92" s="18" t="n"/>
      <c r="B92" s="18" t="n"/>
      <c r="C92" s="18" t="n"/>
      <c r="D92" s="18" t="n"/>
    </row>
    <row r="93" ht="15.75" customHeight="1" s="35">
      <c r="A93" s="18" t="n"/>
      <c r="B93" s="18" t="n"/>
      <c r="C93" s="18" t="n"/>
      <c r="D93" s="18" t="n"/>
    </row>
    <row r="94" ht="15.75" customHeight="1" s="35">
      <c r="A94" s="18" t="n"/>
      <c r="B94" s="18" t="n"/>
      <c r="C94" s="18" t="n"/>
      <c r="D94" s="18" t="n"/>
    </row>
    <row r="95" ht="15.75" customHeight="1" s="35">
      <c r="A95" s="18" t="n"/>
      <c r="B95" s="18" t="n"/>
      <c r="C95" s="18" t="n"/>
      <c r="D95" s="18" t="n"/>
    </row>
    <row r="96" ht="15.75" customHeight="1" s="35">
      <c r="A96" s="18" t="n"/>
      <c r="B96" s="18" t="n"/>
      <c r="C96" s="18" t="n"/>
      <c r="D96" s="18" t="n"/>
    </row>
    <row r="97" ht="15.75" customHeight="1" s="35">
      <c r="A97" s="18" t="n"/>
      <c r="B97" s="18" t="n"/>
      <c r="C97" s="18" t="n"/>
      <c r="D97" s="18" t="n"/>
    </row>
    <row r="98" ht="15.75" customHeight="1" s="35">
      <c r="A98" s="18" t="n"/>
      <c r="B98" s="18" t="n"/>
      <c r="C98" s="18" t="n"/>
      <c r="D98" s="18" t="n"/>
    </row>
    <row r="99" ht="15.75" customHeight="1" s="35">
      <c r="A99" s="18" t="n"/>
      <c r="B99" s="18" t="n"/>
      <c r="C99" s="18" t="n"/>
      <c r="D99" s="18" t="n"/>
    </row>
    <row r="100" ht="15.75" customHeight="1" s="35">
      <c r="A100" s="18" t="n"/>
      <c r="B100" s="18" t="n"/>
      <c r="C100" s="18" t="n"/>
      <c r="D100" s="18" t="n"/>
    </row>
    <row r="101" ht="15.75" customHeight="1" s="35">
      <c r="A101" s="18" t="n"/>
      <c r="B101" s="18" t="n"/>
      <c r="C101" s="18" t="n"/>
      <c r="D101" s="18" t="n"/>
    </row>
    <row r="102" ht="15.75" customHeight="1" s="35">
      <c r="A102" s="18" t="n"/>
      <c r="B102" s="18" t="n"/>
      <c r="C102" s="18" t="n"/>
      <c r="D102" s="18" t="n"/>
    </row>
    <row r="103" ht="15.75" customHeight="1" s="35">
      <c r="A103" s="18" t="n"/>
      <c r="B103" s="18" t="n"/>
      <c r="C103" s="18" t="n"/>
      <c r="D103" s="18" t="n"/>
    </row>
    <row r="104" ht="15.75" customHeight="1" s="35">
      <c r="A104" s="18" t="n"/>
      <c r="B104" s="18" t="n"/>
      <c r="C104" s="18" t="n"/>
      <c r="D104" s="18" t="n"/>
    </row>
    <row r="105" ht="15.75" customHeight="1" s="35">
      <c r="A105" s="18" t="n"/>
      <c r="B105" s="18" t="n"/>
      <c r="C105" s="18" t="n"/>
      <c r="D105" s="18" t="n"/>
    </row>
    <row r="106" ht="15.75" customHeight="1" s="35">
      <c r="A106" s="18" t="n"/>
      <c r="B106" s="18" t="n"/>
      <c r="C106" s="18" t="n"/>
      <c r="D106" s="18" t="n"/>
    </row>
    <row r="107" ht="15.75" customHeight="1" s="35">
      <c r="A107" s="18" t="n"/>
      <c r="B107" s="18" t="n"/>
      <c r="C107" s="18" t="n"/>
      <c r="D107" s="18" t="n"/>
    </row>
    <row r="108" ht="15.75" customHeight="1" s="35">
      <c r="A108" s="18" t="n"/>
      <c r="B108" s="18" t="n"/>
      <c r="C108" s="18" t="n"/>
      <c r="D108" s="18" t="n"/>
    </row>
    <row r="109" ht="15.75" customHeight="1" s="35">
      <c r="A109" s="18" t="n"/>
      <c r="B109" s="18" t="n"/>
      <c r="C109" s="18" t="n"/>
      <c r="D109" s="18" t="n"/>
    </row>
    <row r="110" ht="15.75" customHeight="1" s="35">
      <c r="A110" s="18" t="n"/>
      <c r="B110" s="18" t="n"/>
      <c r="C110" s="18" t="n"/>
      <c r="D110" s="18" t="n"/>
    </row>
    <row r="111" ht="15.75" customHeight="1" s="35">
      <c r="A111" s="18" t="n"/>
      <c r="B111" s="18" t="n"/>
      <c r="C111" s="18" t="n"/>
      <c r="D111" s="18" t="n"/>
    </row>
    <row r="112" ht="15.75" customHeight="1" s="35">
      <c r="A112" s="18" t="n"/>
      <c r="B112" s="18" t="n"/>
      <c r="C112" s="18" t="n"/>
      <c r="D112" s="18" t="n"/>
    </row>
    <row r="113" ht="15.75" customHeight="1" s="35">
      <c r="A113" s="18" t="n"/>
      <c r="B113" s="18" t="n"/>
      <c r="C113" s="18" t="n"/>
      <c r="D113" s="18" t="n"/>
    </row>
    <row r="114" ht="15.75" customHeight="1" s="35">
      <c r="A114" s="18" t="n"/>
      <c r="B114" s="18" t="n"/>
      <c r="C114" s="18" t="n"/>
      <c r="D114" s="18" t="n"/>
    </row>
    <row r="115" ht="15.75" customHeight="1" s="35">
      <c r="A115" s="18" t="n"/>
      <c r="B115" s="18" t="n"/>
      <c r="C115" s="18" t="n"/>
      <c r="D115" s="18" t="n"/>
    </row>
    <row r="116" ht="15.75" customHeight="1" s="35">
      <c r="A116" s="18" t="n"/>
      <c r="B116" s="18" t="n"/>
      <c r="C116" s="18" t="n"/>
      <c r="D116" s="18" t="n"/>
    </row>
    <row r="117" ht="15.75" customHeight="1" s="35">
      <c r="A117" s="18" t="n"/>
      <c r="B117" s="18" t="n"/>
      <c r="C117" s="18" t="n"/>
      <c r="D117" s="18" t="n"/>
    </row>
    <row r="118" ht="15.75" customHeight="1" s="35">
      <c r="A118" s="18" t="n"/>
      <c r="B118" s="18" t="n"/>
      <c r="C118" s="18" t="n"/>
      <c r="D118" s="18" t="n"/>
    </row>
    <row r="119" ht="15.75" customHeight="1" s="35">
      <c r="A119" s="18" t="n"/>
      <c r="B119" s="18" t="n"/>
      <c r="C119" s="18" t="n"/>
      <c r="D119" s="18" t="n"/>
    </row>
    <row r="120" ht="15.75" customHeight="1" s="35">
      <c r="A120" s="18" t="n"/>
      <c r="B120" s="18" t="n"/>
      <c r="C120" s="18" t="n"/>
      <c r="D120" s="18" t="n"/>
    </row>
    <row r="121" ht="15.75" customHeight="1" s="35">
      <c r="A121" s="18" t="n"/>
      <c r="B121" s="18" t="n"/>
      <c r="C121" s="18" t="n"/>
      <c r="D121" s="18" t="n"/>
    </row>
    <row r="122" ht="15.75" customHeight="1" s="35">
      <c r="A122" s="18" t="n"/>
      <c r="B122" s="18" t="n"/>
      <c r="C122" s="18" t="n"/>
      <c r="D122" s="18" t="n"/>
    </row>
    <row r="123" ht="15.75" customHeight="1" s="35">
      <c r="A123" s="18" t="n"/>
      <c r="B123" s="18" t="n"/>
      <c r="C123" s="18" t="n"/>
      <c r="D123" s="18" t="n"/>
    </row>
    <row r="124" ht="15.75" customHeight="1" s="35">
      <c r="A124" s="18" t="n"/>
      <c r="B124" s="18" t="n"/>
      <c r="C124" s="18" t="n"/>
      <c r="D124" s="18" t="n"/>
    </row>
    <row r="125" ht="15.75" customHeight="1" s="35">
      <c r="A125" s="18" t="n"/>
      <c r="B125" s="18" t="n"/>
      <c r="C125" s="18" t="n"/>
      <c r="D125" s="18" t="n"/>
    </row>
    <row r="126" ht="15.75" customHeight="1" s="35">
      <c r="A126" s="18" t="n"/>
      <c r="B126" s="18" t="n"/>
      <c r="C126" s="18" t="n"/>
      <c r="D126" s="18" t="n"/>
    </row>
    <row r="127" ht="15.75" customHeight="1" s="35">
      <c r="A127" s="18" t="n"/>
      <c r="B127" s="18" t="n"/>
      <c r="C127" s="18" t="n"/>
      <c r="D127" s="18" t="n"/>
    </row>
    <row r="128" ht="15.75" customHeight="1" s="35">
      <c r="A128" s="18" t="n"/>
      <c r="B128" s="18" t="n"/>
      <c r="C128" s="18" t="n"/>
      <c r="D128" s="18" t="n"/>
    </row>
    <row r="129" ht="15.75" customHeight="1" s="35">
      <c r="A129" s="18" t="n"/>
      <c r="B129" s="18" t="n"/>
      <c r="C129" s="18" t="n"/>
      <c r="D129" s="18" t="n"/>
    </row>
    <row r="130" ht="15.75" customHeight="1" s="35">
      <c r="A130" s="18" t="n"/>
      <c r="B130" s="18" t="n"/>
      <c r="C130" s="18" t="n"/>
      <c r="D130" s="18" t="n"/>
    </row>
    <row r="131" ht="15.75" customHeight="1" s="35">
      <c r="A131" s="18" t="n"/>
      <c r="B131" s="18" t="n"/>
      <c r="C131" s="18" t="n"/>
      <c r="D131" s="18" t="n"/>
    </row>
    <row r="132" ht="15.75" customHeight="1" s="35">
      <c r="A132" s="18" t="n"/>
      <c r="B132" s="18" t="n"/>
      <c r="C132" s="18" t="n"/>
      <c r="D132" s="18" t="n"/>
    </row>
    <row r="133" ht="15.75" customHeight="1" s="35">
      <c r="A133" s="18" t="n"/>
      <c r="B133" s="18" t="n"/>
      <c r="C133" s="18" t="n"/>
      <c r="D133" s="18" t="n"/>
    </row>
    <row r="134" ht="15.75" customHeight="1" s="35">
      <c r="A134" s="18" t="n"/>
      <c r="B134" s="18" t="n"/>
      <c r="C134" s="18" t="n"/>
      <c r="D134" s="18" t="n"/>
    </row>
    <row r="135" ht="15.75" customHeight="1" s="35">
      <c r="A135" s="18" t="n"/>
      <c r="B135" s="18" t="n"/>
      <c r="C135" s="18" t="n"/>
      <c r="D135" s="18" t="n"/>
    </row>
    <row r="136" ht="15.75" customHeight="1" s="35">
      <c r="A136" s="18" t="n"/>
      <c r="B136" s="18" t="n"/>
      <c r="C136" s="18" t="n"/>
      <c r="D136" s="18" t="n"/>
    </row>
    <row r="137" ht="15.75" customHeight="1" s="35">
      <c r="A137" s="18" t="n"/>
      <c r="B137" s="18" t="n"/>
      <c r="C137" s="18" t="n"/>
      <c r="D137" s="18" t="n"/>
    </row>
    <row r="138" ht="15.75" customHeight="1" s="35">
      <c r="A138" s="18" t="n"/>
      <c r="B138" s="18" t="n"/>
      <c r="C138" s="18" t="n"/>
      <c r="D138" s="18" t="n"/>
    </row>
    <row r="139" ht="15.75" customHeight="1" s="35">
      <c r="A139" s="18" t="n"/>
      <c r="B139" s="18" t="n"/>
      <c r="C139" s="18" t="n"/>
      <c r="D139" s="18" t="n"/>
    </row>
    <row r="140" ht="15.75" customHeight="1" s="35">
      <c r="A140" s="18" t="n"/>
      <c r="B140" s="18" t="n"/>
      <c r="C140" s="18" t="n"/>
      <c r="D140" s="18" t="n"/>
    </row>
    <row r="141" ht="15.75" customHeight="1" s="35">
      <c r="A141" s="18" t="n"/>
      <c r="B141" s="18" t="n"/>
      <c r="C141" s="18" t="n"/>
      <c r="D141" s="18" t="n"/>
    </row>
    <row r="142" ht="15.75" customHeight="1" s="35">
      <c r="A142" s="18" t="n"/>
      <c r="B142" s="18" t="n"/>
      <c r="C142" s="18" t="n"/>
      <c r="D142" s="18" t="n"/>
    </row>
    <row r="143" ht="15.75" customHeight="1" s="35">
      <c r="A143" s="18" t="n"/>
      <c r="B143" s="18" t="n"/>
      <c r="C143" s="18" t="n"/>
      <c r="D143" s="18" t="n"/>
    </row>
    <row r="144" ht="15.75" customHeight="1" s="35">
      <c r="A144" s="18" t="n"/>
      <c r="B144" s="18" t="n"/>
      <c r="C144" s="18" t="n"/>
      <c r="D144" s="18" t="n"/>
    </row>
    <row r="145" ht="15.75" customHeight="1" s="35">
      <c r="A145" s="18" t="n"/>
      <c r="B145" s="18" t="n"/>
      <c r="C145" s="18" t="n"/>
      <c r="D145" s="18" t="n"/>
    </row>
    <row r="146" ht="15.75" customHeight="1" s="35">
      <c r="A146" s="18" t="n"/>
      <c r="B146" s="18" t="n"/>
      <c r="C146" s="18" t="n"/>
      <c r="D146" s="18" t="n"/>
    </row>
    <row r="147" ht="15.75" customHeight="1" s="35">
      <c r="A147" s="18" t="n"/>
      <c r="B147" s="18" t="n"/>
      <c r="C147" s="18" t="n"/>
      <c r="D147" s="18" t="n"/>
    </row>
    <row r="148" ht="15.75" customHeight="1" s="35">
      <c r="A148" s="18" t="n"/>
      <c r="B148" s="18" t="n"/>
      <c r="C148" s="18" t="n"/>
      <c r="D148" s="18" t="n"/>
    </row>
    <row r="149" ht="15.75" customHeight="1" s="35">
      <c r="A149" s="18" t="n"/>
      <c r="B149" s="18" t="n"/>
      <c r="C149" s="18" t="n"/>
      <c r="D149" s="18" t="n"/>
    </row>
    <row r="150" ht="15.75" customHeight="1" s="35">
      <c r="A150" s="18" t="n"/>
      <c r="B150" s="18" t="n"/>
      <c r="C150" s="18" t="n"/>
      <c r="D150" s="18" t="n"/>
    </row>
    <row r="151" ht="15.75" customHeight="1" s="35">
      <c r="A151" s="18" t="n"/>
      <c r="B151" s="18" t="n"/>
      <c r="C151" s="18" t="n"/>
      <c r="D151" s="18" t="n"/>
    </row>
    <row r="152" ht="15.75" customHeight="1" s="35">
      <c r="A152" s="18" t="n"/>
      <c r="B152" s="18" t="n"/>
      <c r="C152" s="18" t="n"/>
      <c r="D152" s="18" t="n"/>
    </row>
    <row r="153" ht="15.75" customHeight="1" s="35">
      <c r="A153" s="18" t="n"/>
      <c r="B153" s="18" t="n"/>
      <c r="C153" s="18" t="n"/>
      <c r="D153" s="18" t="n"/>
    </row>
    <row r="154" ht="15.75" customHeight="1" s="35">
      <c r="A154" s="18" t="n"/>
      <c r="B154" s="18" t="n"/>
      <c r="C154" s="18" t="n"/>
      <c r="D154" s="18" t="n"/>
    </row>
    <row r="155" ht="15.75" customHeight="1" s="35">
      <c r="A155" s="18" t="n"/>
      <c r="B155" s="18" t="n"/>
      <c r="C155" s="18" t="n"/>
      <c r="D155" s="18" t="n"/>
    </row>
    <row r="156" ht="15.75" customHeight="1" s="35">
      <c r="A156" s="18" t="n"/>
      <c r="B156" s="18" t="n"/>
      <c r="C156" s="18" t="n"/>
      <c r="D156" s="18" t="n"/>
    </row>
    <row r="157" ht="15.75" customHeight="1" s="35">
      <c r="A157" s="18" t="n"/>
      <c r="B157" s="18" t="n"/>
      <c r="C157" s="18" t="n"/>
      <c r="D157" s="18" t="n"/>
    </row>
    <row r="158" ht="15.75" customHeight="1" s="35">
      <c r="A158" s="18" t="n"/>
      <c r="B158" s="18" t="n"/>
      <c r="C158" s="18" t="n"/>
      <c r="D158" s="18" t="n"/>
    </row>
    <row r="159" ht="15.75" customHeight="1" s="35">
      <c r="A159" s="18" t="n"/>
      <c r="B159" s="18" t="n"/>
      <c r="C159" s="18" t="n"/>
      <c r="D159" s="18" t="n"/>
    </row>
    <row r="160" ht="15.75" customHeight="1" s="35">
      <c r="A160" s="18" t="n"/>
      <c r="B160" s="18" t="n"/>
      <c r="C160" s="18" t="n"/>
      <c r="D160" s="18" t="n"/>
    </row>
    <row r="161" ht="15.75" customHeight="1" s="35">
      <c r="A161" s="18" t="n"/>
      <c r="B161" s="18" t="n"/>
      <c r="C161" s="18" t="n"/>
      <c r="D161" s="18" t="n"/>
    </row>
    <row r="162" ht="15.75" customHeight="1" s="35">
      <c r="A162" s="18" t="n"/>
      <c r="B162" s="18" t="n"/>
      <c r="C162" s="18" t="n"/>
      <c r="D162" s="18" t="n"/>
    </row>
    <row r="163" ht="15.75" customHeight="1" s="35">
      <c r="A163" s="18" t="n"/>
      <c r="B163" s="18" t="n"/>
      <c r="C163" s="18" t="n"/>
      <c r="D163" s="18" t="n"/>
    </row>
    <row r="164" ht="15.75" customHeight="1" s="35">
      <c r="A164" s="18" t="n"/>
      <c r="B164" s="18" t="n"/>
      <c r="C164" s="18" t="n"/>
      <c r="D164" s="18" t="n"/>
    </row>
    <row r="165" ht="15.75" customHeight="1" s="35">
      <c r="A165" s="18" t="n"/>
      <c r="B165" s="18" t="n"/>
      <c r="C165" s="18" t="n"/>
      <c r="D165" s="18" t="n"/>
    </row>
    <row r="166" ht="15.75" customHeight="1" s="35">
      <c r="A166" s="18" t="n"/>
      <c r="B166" s="18" t="n"/>
      <c r="C166" s="18" t="n"/>
      <c r="D166" s="18" t="n"/>
    </row>
    <row r="167" ht="15.75" customHeight="1" s="35">
      <c r="A167" s="18" t="n"/>
      <c r="B167" s="18" t="n"/>
      <c r="C167" s="18" t="n"/>
      <c r="D167" s="18" t="n"/>
    </row>
    <row r="168" ht="15.75" customHeight="1" s="35">
      <c r="A168" s="18" t="n"/>
      <c r="B168" s="18" t="n"/>
      <c r="C168" s="18" t="n"/>
      <c r="D168" s="18" t="n"/>
    </row>
    <row r="169" ht="15.75" customHeight="1" s="35">
      <c r="A169" s="18" t="n"/>
      <c r="B169" s="18" t="n"/>
      <c r="C169" s="18" t="n"/>
      <c r="D169" s="18" t="n"/>
    </row>
    <row r="170" ht="15.75" customHeight="1" s="35">
      <c r="A170" s="18" t="n"/>
      <c r="B170" s="18" t="n"/>
      <c r="C170" s="18" t="n"/>
      <c r="D170" s="18" t="n"/>
    </row>
    <row r="171" ht="15.75" customHeight="1" s="35">
      <c r="A171" s="18" t="n"/>
      <c r="B171" s="18" t="n"/>
      <c r="C171" s="18" t="n"/>
      <c r="D171" s="18" t="n"/>
    </row>
    <row r="172" ht="15.75" customHeight="1" s="35">
      <c r="A172" s="18" t="n"/>
      <c r="B172" s="18" t="n"/>
      <c r="C172" s="18" t="n"/>
      <c r="D172" s="18" t="n"/>
    </row>
    <row r="173" ht="15.75" customHeight="1" s="35">
      <c r="A173" s="18" t="n"/>
      <c r="B173" s="18" t="n"/>
      <c r="C173" s="18" t="n"/>
      <c r="D173" s="18" t="n"/>
    </row>
    <row r="174" ht="15.75" customHeight="1" s="35">
      <c r="A174" s="18" t="n"/>
      <c r="B174" s="18" t="n"/>
      <c r="C174" s="18" t="n"/>
      <c r="D174" s="18" t="n"/>
    </row>
    <row r="175" ht="15.75" customHeight="1" s="35">
      <c r="A175" s="18" t="n"/>
      <c r="B175" s="18" t="n"/>
      <c r="C175" s="18" t="n"/>
      <c r="D175" s="18" t="n"/>
    </row>
    <row r="176" ht="15.75" customHeight="1" s="35">
      <c r="A176" s="18" t="n"/>
      <c r="B176" s="18" t="n"/>
      <c r="C176" s="18" t="n"/>
      <c r="D176" s="18" t="n"/>
    </row>
    <row r="177" ht="15.75" customHeight="1" s="35">
      <c r="A177" s="18" t="n"/>
      <c r="B177" s="18" t="n"/>
      <c r="C177" s="18" t="n"/>
      <c r="D177" s="18" t="n"/>
    </row>
    <row r="178" ht="15.75" customHeight="1" s="35">
      <c r="A178" s="18" t="n"/>
      <c r="B178" s="18" t="n"/>
      <c r="C178" s="18" t="n"/>
      <c r="D178" s="18" t="n"/>
    </row>
    <row r="179" ht="15.75" customHeight="1" s="35">
      <c r="A179" s="18" t="n"/>
      <c r="B179" s="18" t="n"/>
      <c r="C179" s="18" t="n"/>
      <c r="D179" s="18" t="n"/>
    </row>
    <row r="180" ht="15.75" customHeight="1" s="35">
      <c r="A180" s="18" t="n"/>
      <c r="B180" s="18" t="n"/>
      <c r="C180" s="18" t="n"/>
      <c r="D180" s="18" t="n"/>
    </row>
    <row r="181" ht="15.75" customHeight="1" s="35">
      <c r="A181" s="18" t="n"/>
      <c r="B181" s="18" t="n"/>
      <c r="C181" s="18" t="n"/>
      <c r="D181" s="18" t="n"/>
    </row>
    <row r="182" ht="15.75" customHeight="1" s="35">
      <c r="A182" s="18" t="n"/>
      <c r="B182" s="18" t="n"/>
      <c r="C182" s="18" t="n"/>
      <c r="D182" s="18" t="n"/>
    </row>
    <row r="183" ht="15.75" customHeight="1" s="35">
      <c r="A183" s="18" t="n"/>
      <c r="B183" s="18" t="n"/>
      <c r="C183" s="18" t="n"/>
      <c r="D183" s="18" t="n"/>
    </row>
    <row r="184" ht="15.75" customHeight="1" s="35">
      <c r="A184" s="18" t="n"/>
      <c r="B184" s="18" t="n"/>
      <c r="C184" s="18" t="n"/>
      <c r="D184" s="18" t="n"/>
    </row>
    <row r="185" ht="15.75" customHeight="1" s="35">
      <c r="A185" s="18" t="n"/>
      <c r="B185" s="18" t="n"/>
      <c r="C185" s="18" t="n"/>
      <c r="D185" s="18" t="n"/>
    </row>
    <row r="186" ht="15.75" customHeight="1" s="35">
      <c r="A186" s="18" t="n"/>
      <c r="B186" s="18" t="n"/>
      <c r="C186" s="18" t="n"/>
      <c r="D186" s="18" t="n"/>
    </row>
    <row r="187" ht="15.75" customHeight="1" s="35">
      <c r="A187" s="18" t="n"/>
      <c r="B187" s="18" t="n"/>
      <c r="C187" s="18" t="n"/>
      <c r="D187" s="18" t="n"/>
    </row>
    <row r="188" ht="15.75" customHeight="1" s="35">
      <c r="A188" s="18" t="n"/>
      <c r="B188" s="18" t="n"/>
      <c r="C188" s="18" t="n"/>
      <c r="D188" s="18" t="n"/>
    </row>
    <row r="189" ht="15.75" customHeight="1" s="35">
      <c r="A189" s="18" t="n"/>
      <c r="B189" s="18" t="n"/>
      <c r="C189" s="18" t="n"/>
      <c r="D189" s="18" t="n"/>
    </row>
    <row r="190" ht="15.75" customHeight="1" s="35">
      <c r="A190" s="18" t="n"/>
      <c r="B190" s="18" t="n"/>
      <c r="C190" s="18" t="n"/>
      <c r="D190" s="18" t="n"/>
    </row>
    <row r="191" ht="15.75" customHeight="1" s="35">
      <c r="A191" s="18" t="n"/>
      <c r="B191" s="18" t="n"/>
      <c r="C191" s="18" t="n"/>
      <c r="D191" s="18" t="n"/>
    </row>
    <row r="192" ht="15.75" customHeight="1" s="35">
      <c r="A192" s="18" t="n"/>
      <c r="B192" s="18" t="n"/>
      <c r="C192" s="18" t="n"/>
      <c r="D192" s="18" t="n"/>
    </row>
    <row r="193" ht="15.75" customHeight="1" s="35">
      <c r="A193" s="18" t="n"/>
      <c r="B193" s="18" t="n"/>
      <c r="C193" s="18" t="n"/>
      <c r="D193" s="18" t="n"/>
    </row>
    <row r="194" ht="15.75" customHeight="1" s="35">
      <c r="A194" s="18" t="n"/>
      <c r="B194" s="18" t="n"/>
      <c r="C194" s="18" t="n"/>
      <c r="D194" s="18" t="n"/>
    </row>
    <row r="195" ht="15.75" customHeight="1" s="35">
      <c r="A195" s="18" t="n"/>
      <c r="B195" s="18" t="n"/>
      <c r="C195" s="18" t="n"/>
      <c r="D195" s="18" t="n"/>
    </row>
    <row r="196" ht="15.75" customHeight="1" s="35">
      <c r="A196" s="18" t="n"/>
      <c r="B196" s="18" t="n"/>
      <c r="C196" s="18" t="n"/>
      <c r="D196" s="18" t="n"/>
    </row>
    <row r="197" ht="15.75" customHeight="1" s="35">
      <c r="A197" s="18" t="n"/>
      <c r="B197" s="18" t="n"/>
      <c r="C197" s="18" t="n"/>
      <c r="D197" s="18" t="n"/>
    </row>
    <row r="198" ht="15.75" customHeight="1" s="35">
      <c r="A198" s="18" t="n"/>
      <c r="B198" s="18" t="n"/>
      <c r="C198" s="18" t="n"/>
      <c r="D198" s="18" t="n"/>
    </row>
    <row r="199" ht="15.75" customHeight="1" s="35">
      <c r="A199" s="18" t="n"/>
      <c r="B199" s="18" t="n"/>
      <c r="C199" s="18" t="n"/>
      <c r="D199" s="18" t="n"/>
    </row>
    <row r="200" ht="15.75" customHeight="1" s="35">
      <c r="A200" s="18" t="n"/>
      <c r="B200" s="18" t="n"/>
      <c r="C200" s="18" t="n"/>
      <c r="D200" s="18" t="n"/>
    </row>
    <row r="201" ht="15.75" customHeight="1" s="35">
      <c r="A201" s="18" t="n"/>
      <c r="B201" s="18" t="n"/>
      <c r="C201" s="18" t="n"/>
      <c r="D201" s="18" t="n"/>
    </row>
    <row r="202" ht="15.75" customHeight="1" s="35">
      <c r="A202" s="18" t="n"/>
      <c r="B202" s="18" t="n"/>
      <c r="C202" s="18" t="n"/>
      <c r="D202" s="18" t="n"/>
    </row>
    <row r="203" ht="15.75" customHeight="1" s="35">
      <c r="A203" s="18" t="n"/>
      <c r="B203" s="18" t="n"/>
      <c r="C203" s="18" t="n"/>
      <c r="D203" s="18" t="n"/>
    </row>
    <row r="204" ht="15.75" customHeight="1" s="35">
      <c r="A204" s="18" t="n"/>
      <c r="B204" s="18" t="n"/>
      <c r="C204" s="18" t="n"/>
      <c r="D204" s="18" t="n"/>
    </row>
    <row r="205" ht="15.75" customHeight="1" s="35">
      <c r="A205" s="18" t="n"/>
      <c r="B205" s="18" t="n"/>
      <c r="C205" s="18" t="n"/>
      <c r="D205" s="18" t="n"/>
    </row>
    <row r="206" ht="15.75" customHeight="1" s="35">
      <c r="A206" s="18" t="n"/>
      <c r="B206" s="18" t="n"/>
      <c r="C206" s="18" t="n"/>
      <c r="D206" s="18" t="n"/>
    </row>
    <row r="207" ht="15.75" customHeight="1" s="35">
      <c r="A207" s="18" t="n"/>
      <c r="B207" s="18" t="n"/>
      <c r="C207" s="18" t="n"/>
      <c r="D207" s="18" t="n"/>
    </row>
    <row r="208" ht="15.75" customHeight="1" s="35">
      <c r="A208" s="18" t="n"/>
      <c r="B208" s="18" t="n"/>
      <c r="C208" s="18" t="n"/>
      <c r="D208" s="18" t="n"/>
    </row>
    <row r="209" ht="15.75" customHeight="1" s="35">
      <c r="A209" s="18" t="n"/>
      <c r="B209" s="18" t="n"/>
      <c r="C209" s="18" t="n"/>
      <c r="D209" s="18" t="n"/>
    </row>
    <row r="210" ht="15.75" customHeight="1" s="35">
      <c r="A210" s="18" t="n"/>
      <c r="B210" s="18" t="n"/>
      <c r="C210" s="18" t="n"/>
      <c r="D210" s="18" t="n"/>
    </row>
    <row r="211" ht="15.75" customHeight="1" s="35">
      <c r="A211" s="18" t="n"/>
      <c r="B211" s="18" t="n"/>
      <c r="C211" s="18" t="n"/>
      <c r="D211" s="18" t="n"/>
    </row>
    <row r="212" ht="15.75" customHeight="1" s="35">
      <c r="A212" s="18" t="n"/>
      <c r="B212" s="18" t="n"/>
      <c r="C212" s="18" t="n"/>
      <c r="D212" s="18" t="n"/>
    </row>
    <row r="213" ht="15.75" customHeight="1" s="35">
      <c r="A213" s="18" t="n"/>
      <c r="B213" s="18" t="n"/>
      <c r="C213" s="18" t="n"/>
      <c r="D213" s="18" t="n"/>
    </row>
    <row r="214" ht="15.75" customHeight="1" s="35">
      <c r="A214" s="18" t="n"/>
      <c r="B214" s="18" t="n"/>
      <c r="C214" s="18" t="n"/>
      <c r="D214" s="18" t="n"/>
    </row>
    <row r="215" ht="15.75" customHeight="1" s="35">
      <c r="A215" s="18" t="n"/>
      <c r="B215" s="18" t="n"/>
      <c r="C215" s="18" t="n"/>
      <c r="D215" s="18" t="n"/>
    </row>
    <row r="216" ht="15.75" customHeight="1" s="35">
      <c r="A216" s="18" t="n"/>
      <c r="B216" s="18" t="n"/>
      <c r="C216" s="18" t="n"/>
      <c r="D216" s="18" t="n"/>
    </row>
    <row r="217" ht="15.75" customHeight="1" s="35">
      <c r="A217" s="18" t="n"/>
      <c r="B217" s="18" t="n"/>
      <c r="C217" s="18" t="n"/>
      <c r="D217" s="18" t="n"/>
    </row>
    <row r="218" ht="15.75" customHeight="1" s="35">
      <c r="A218" s="18" t="n"/>
      <c r="B218" s="18" t="n"/>
      <c r="C218" s="18" t="n"/>
      <c r="D218" s="18" t="n"/>
    </row>
    <row r="219" ht="15.75" customHeight="1" s="35">
      <c r="A219" s="18" t="n"/>
      <c r="B219" s="18" t="n"/>
      <c r="C219" s="18" t="n"/>
      <c r="D219" s="18" t="n"/>
    </row>
    <row r="220" ht="15.75" customHeight="1" s="35">
      <c r="A220" s="18" t="n"/>
      <c r="B220" s="18" t="n"/>
      <c r="C220" s="18" t="n"/>
      <c r="D220" s="18" t="n"/>
    </row>
    <row r="221" ht="15.75" customHeight="1" s="35">
      <c r="A221" s="18" t="n"/>
      <c r="B221" s="18" t="n"/>
      <c r="C221" s="18" t="n"/>
      <c r="D221" s="18" t="n"/>
    </row>
    <row r="222" ht="15.75" customHeight="1" s="35">
      <c r="A222" s="18" t="n"/>
      <c r="B222" s="18" t="n"/>
      <c r="C222" s="18" t="n"/>
      <c r="D222" s="18" t="n"/>
    </row>
    <row r="223" ht="15.75" customHeight="1" s="35">
      <c r="A223" s="18" t="n"/>
      <c r="B223" s="18" t="n"/>
      <c r="C223" s="18" t="n"/>
      <c r="D223" s="18" t="n"/>
    </row>
    <row r="224" ht="15.75" customHeight="1" s="35">
      <c r="A224" s="18" t="n"/>
      <c r="B224" s="18" t="n"/>
      <c r="C224" s="18" t="n"/>
      <c r="D224" s="18" t="n"/>
    </row>
    <row r="225" ht="15.75" customHeight="1" s="35">
      <c r="A225" s="18" t="n"/>
      <c r="B225" s="18" t="n"/>
      <c r="C225" s="18" t="n"/>
      <c r="D225" s="18" t="n"/>
    </row>
    <row r="226" ht="15.75" customHeight="1" s="35">
      <c r="A226" s="18" t="n"/>
      <c r="B226" s="18" t="n"/>
      <c r="C226" s="18" t="n"/>
      <c r="D226" s="18" t="n"/>
    </row>
    <row r="227" ht="15.75" customHeight="1" s="35">
      <c r="A227" s="18" t="n"/>
      <c r="B227" s="18" t="n"/>
      <c r="C227" s="18" t="n"/>
      <c r="D227" s="18" t="n"/>
    </row>
    <row r="228" ht="15.75" customHeight="1" s="35">
      <c r="A228" s="18" t="n"/>
      <c r="B228" s="18" t="n"/>
      <c r="C228" s="18" t="n"/>
      <c r="D228" s="18" t="n"/>
    </row>
    <row r="229" ht="15.75" customHeight="1" s="35">
      <c r="A229" s="18" t="n"/>
      <c r="B229" s="18" t="n"/>
      <c r="C229" s="18" t="n"/>
      <c r="D229" s="18" t="n"/>
    </row>
    <row r="230" ht="15.75" customHeight="1" s="35">
      <c r="A230" s="18" t="n"/>
      <c r="B230" s="18" t="n"/>
      <c r="C230" s="18" t="n"/>
      <c r="D230" s="18" t="n"/>
    </row>
    <row r="231" ht="15.75" customHeight="1" s="35">
      <c r="A231" s="18" t="n"/>
      <c r="B231" s="18" t="n"/>
      <c r="C231" s="18" t="n"/>
      <c r="D231" s="18" t="n"/>
    </row>
    <row r="232" ht="15.75" customHeight="1" s="35">
      <c r="A232" s="18" t="n"/>
      <c r="B232" s="18" t="n"/>
      <c r="C232" s="18" t="n"/>
      <c r="D232" s="18" t="n"/>
    </row>
    <row r="233" ht="15.75" customHeight="1" s="35">
      <c r="A233" s="18" t="n"/>
      <c r="B233" s="18" t="n"/>
      <c r="C233" s="18" t="n"/>
      <c r="D233" s="18" t="n"/>
    </row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35" min="1" max="1"/>
    <col width="12" customWidth="1" style="35" min="2" max="2"/>
    <col width="22" customWidth="1" style="35" min="3" max="3"/>
    <col width="24" customWidth="1" style="35" min="4" max="4"/>
    <col width="28" customWidth="1" style="35" min="5" max="5"/>
    <col width="30" customWidth="1" style="35" min="6" max="6"/>
    <col width="22" customWidth="1" style="35" min="7" max="8"/>
    <col width="60" customWidth="1" style="35" min="9" max="9"/>
    <col width="8.710000000000001" customWidth="1" style="35" min="10" max="10"/>
    <col width="11.71" customWidth="1" style="35" min="11" max="11"/>
  </cols>
  <sheetData>
    <row r="1" ht="24" customHeight="1" s="35">
      <c r="A1" s="1" t="inlineStr">
        <is>
          <t>Day-by-Day Itinerary</t>
        </is>
      </c>
    </row>
    <row r="2" ht="18" customHeight="1" s="35">
      <c r="A2" s="2" t="inlineStr">
        <is>
          <t>Country &amp; city for every day · driving distances · hotels with booking links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  <c r="I3" s="18" t="n"/>
    </row>
    <row r="4" ht="15" customHeight="1" s="35">
      <c r="A4" s="4" t="inlineStr">
        <is>
          <t>Day</t>
        </is>
      </c>
      <c r="B4" s="4" t="inlineStr">
        <is>
          <t>Date</t>
        </is>
      </c>
      <c r="C4" s="4" t="inlineStr">
        <is>
          <t>Country</t>
        </is>
      </c>
      <c r="D4" s="4" t="inlineStr">
        <is>
          <t>City</t>
        </is>
      </c>
      <c r="E4" s="4" t="inlineStr">
        <is>
          <t>Hotel</t>
        </is>
      </c>
      <c r="F4" s="4" t="inlineStr">
        <is>
          <t>From → To</t>
        </is>
      </c>
      <c r="G4" s="4" t="inlineStr">
        <is>
          <t>Distance / Time</t>
        </is>
      </c>
      <c r="H4" s="4" t="inlineStr">
        <is>
          <t>Start Time</t>
        </is>
      </c>
      <c r="I4" s="4" t="inlineStr">
        <is>
          <t>Description</t>
        </is>
      </c>
      <c r="J4" s="4" t="inlineStr">
        <is>
          <t>Cost</t>
        </is>
      </c>
      <c r="K4" s="0" t="inlineStr">
        <is>
          <t>Must-Try Food 🍴</t>
        </is>
      </c>
    </row>
    <row r="5" ht="54.75" customHeight="1" s="35">
      <c r="A5" s="17" t="n">
        <v>0</v>
      </c>
      <c r="B5" s="17" t="inlineStr">
        <is>
          <t>Sat 11 Jul</t>
        </is>
      </c>
      <c r="C5" s="17" t="inlineStr">
        <is>
          <t>Germany 🇩🇪</t>
        </is>
      </c>
      <c r="D5" s="17" t="inlineStr">
        <is>
          <t>Munich</t>
        </is>
      </c>
      <c r="E5" s="11" t="inlineStr">
        <is>
          <t>Budget Car Rental</t>
        </is>
      </c>
      <c r="F5" s="17" t="n"/>
      <c r="G5" s="17" t="n"/>
      <c r="H5" s="17" t="inlineStr">
        <is>
          <t>8.30am</t>
        </is>
      </c>
      <c r="I5" s="17" t="inlineStr">
        <is>
          <t>Car rental</t>
        </is>
      </c>
      <c r="J5" s="12" t="n">
        <v>1372.08</v>
      </c>
      <c r="K5" s="12" t="inlineStr">
        <is>
          <t>🥨 Weisswurst + Brezel — white sausage with sweet mustard &amp; pretzel (€6–9)</t>
        </is>
      </c>
    </row>
    <row r="6" ht="54.75" customHeight="1" s="35">
      <c r="A6" s="17" t="n">
        <v>1</v>
      </c>
      <c r="B6" s="17" t="inlineStr">
        <is>
          <t>Sat 11 Jul</t>
        </is>
      </c>
      <c r="C6" s="17" t="inlineStr">
        <is>
          <t>Austria 🇦🇹</t>
        </is>
      </c>
      <c r="D6" s="17" t="inlineStr">
        <is>
          <t>Burg Altpernstein (Upper Austria)</t>
        </is>
      </c>
      <c r="E6" s="13" t="inlineStr">
        <is>
          <t>Burg Altpernstein</t>
        </is>
      </c>
      <c r="F6" s="17" t="inlineStr">
        <is>
          <t>Munich (land) → Burg Altpernstein</t>
        </is>
      </c>
      <c r="G6" s="17" t="inlineStr">
        <is>
          <t>~290 km · ~3 hrs</t>
        </is>
      </c>
      <c r="H6" s="17" t="inlineStr">
        <is>
          <t>Drive ~10:00 (after car pickup)</t>
        </is>
      </c>
      <c r="I6" s="17" t="inlineStr">
        <is>
          <t>Land MUC T2 07:05. Collect rental car ~09:00. Drive directly south-east to Burg Altpernstein castle hotel in Upper Austria. Check in afternoon. Saturday Vigil Mass at Stiftskirche Spital am Pyhrn (~30 min south, 7 PM). Castle dinner.</t>
        </is>
      </c>
      <c r="J6" s="17" t="n">
        <v>727</v>
      </c>
      <c r="K6" s="17" t="inlineStr">
        <is>
          <t>🍖 Wiener Schnitzel — thin veal cutlet, golden-fried, served with lemon (€12–18)</t>
        </is>
      </c>
    </row>
    <row r="7" ht="54.75" customHeight="1" s="35">
      <c r="A7" s="17" t="n">
        <v>2</v>
      </c>
      <c r="B7" s="17" t="inlineStr">
        <is>
          <t>Sun 12 Jul</t>
        </is>
      </c>
      <c r="C7" s="17" t="inlineStr">
        <is>
          <t>Austria 🇦🇹</t>
        </is>
      </c>
      <c r="D7" s="17" t="inlineStr">
        <is>
          <t>Burg Altpernstein (Upper Austria)</t>
        </is>
      </c>
      <c r="E7" s="13" t="inlineStr">
        <is>
          <t>Burg Altpernstein</t>
        </is>
      </c>
      <c r="F7" s="17" t="inlineStr">
        <is>
          <t>Burg Altpernstein (base) — Hallstatt day trip optional</t>
        </is>
      </c>
      <c r="G7" s="17" t="inlineStr">
        <is>
          <t>Optional ~80 km / 1.5 hrs each way to Hallstatt</t>
        </is>
      </c>
      <c r="H7" s="17" t="inlineStr">
        <is>
          <t>09:00 Mass · day flexible</t>
        </is>
      </c>
      <c r="I7" s="17" t="inlineStr">
        <is>
          <t>Sunday Mass 9 AM at Stiftskirche Spital am Pyhrn. Optional afternoon: drive ~1.5hrs to Hallstatt — UNESCO village, salt mine, lakeside. Or relax at the castle, Pfarrkirche Kirchdorf an der Krems (5 min).</t>
        </is>
      </c>
      <c r="J7" s="36" t="n"/>
      <c r="K7" s="0" t="inlineStr">
        <is>
          <t>🥐 Apfelstrudel — flaky pastry filled with cinnamon apple, served warm with cream (€4–7)</t>
        </is>
      </c>
    </row>
    <row r="8" ht="54.75" customHeight="1" s="35">
      <c r="A8" s="17" t="n">
        <v>3</v>
      </c>
      <c r="B8" s="17" t="inlineStr">
        <is>
          <t>Mon 13 Jul</t>
        </is>
      </c>
      <c r="C8" s="17" t="inlineStr">
        <is>
          <t>Czechia 🇨🇿</t>
        </is>
      </c>
      <c r="D8" s="17" t="inlineStr">
        <is>
          <t>Prague</t>
        </is>
      </c>
      <c r="E8" s="13" t="inlineStr">
        <is>
          <t>Gold Art Apartment</t>
        </is>
      </c>
      <c r="F8" s="17" t="inlineStr">
        <is>
          <t>Burg Altpernstein → Prague</t>
        </is>
      </c>
      <c r="G8" s="17" t="inlineStr">
        <is>
          <t>~430 km · 4.5–5 hrs</t>
        </is>
      </c>
      <c r="H8" s="9" t="inlineStr">
        <is>
          <t>08:00</t>
        </is>
      </c>
      <c r="I8" s="17" t="inlineStr">
        <is>
          <t>Drive north to Prague. Arrive mid-afternoon — Charles Bridge at golden hour, Old Town Square, Czech beer hall. Check in to Gold Art Apartment. 🧺 LAUNDRY DROP: Prague Andy's Laundromat (Korunní 14, Vinohrady) — open 9am–8pm daily, ~€10–15 family load, cards OK, English-speaking. Drop on arrival, pick up before dinner.</t>
        </is>
      </c>
      <c r="J8" s="17" t="n">
        <v>626</v>
      </c>
      <c r="K8" s="17" t="inlineStr">
        <is>
          <t>🥩 Svíčková — beef sirloin in cream sauce with bread dumplings &amp; cranberry (€8–12)</t>
        </is>
      </c>
    </row>
    <row r="9" ht="54.75" customHeight="1" s="35">
      <c r="A9" s="17" t="n">
        <v>4</v>
      </c>
      <c r="B9" s="17" t="inlineStr">
        <is>
          <t>Tue 14 Jul</t>
        </is>
      </c>
      <c r="C9" s="17" t="inlineStr">
        <is>
          <t>Czechia 🇨🇿</t>
        </is>
      </c>
      <c r="D9" s="17" t="inlineStr">
        <is>
          <t>Prague</t>
        </is>
      </c>
      <c r="E9" s="13" t="inlineStr">
        <is>
          <t>Gold Art Apartment</t>
        </is>
      </c>
      <c r="F9" s="17" t="inlineStr">
        <is>
          <t>Prague (full day)</t>
        </is>
      </c>
      <c r="G9" s="17" t="inlineStr">
        <is>
          <t>—</t>
        </is>
      </c>
      <c r="H9" s="17" t="inlineStr">
        <is>
          <t>Full day</t>
        </is>
      </c>
      <c r="I9" s="17" t="inlineStr">
        <is>
          <t>Prague Castle &amp; St. Vitus Cathedral, Josefov Jewish Quarter, Wenceslas Square, Vltava river cruise.</t>
        </is>
      </c>
      <c r="J9" s="36" t="n"/>
      <c r="K9" s="0" t="inlineStr">
        <is>
          <t>🥨 Trdelník — grilled spiral pastry rolled in cinnamon sugar, fresh off the street (€2–3)</t>
        </is>
      </c>
    </row>
    <row r="10" ht="54.75" customHeight="1" s="35">
      <c r="A10" s="17" t="n">
        <v>5</v>
      </c>
      <c r="B10" s="17" t="inlineStr">
        <is>
          <t>Wed 15 Jul</t>
        </is>
      </c>
      <c r="C10" s="17" t="inlineStr">
        <is>
          <t>Austria 🇦🇹</t>
        </is>
      </c>
      <c r="D10" s="17" t="inlineStr">
        <is>
          <t>Vienna</t>
        </is>
      </c>
      <c r="E10" s="13" t="inlineStr">
        <is>
          <t>The Levante Laudon</t>
        </is>
      </c>
      <c r="F10" s="17" t="inlineStr">
        <is>
          <t>Prague → Vienna</t>
        </is>
      </c>
      <c r="G10" s="17" t="inlineStr">
        <is>
          <t>~320 km · 3.5–4 hrs</t>
        </is>
      </c>
      <c r="H10" s="17" t="inlineStr">
        <is>
          <t>11:00</t>
        </is>
      </c>
      <c r="I10" s="17" t="inlineStr">
        <is>
          <t>Morning Prague Castle area. Drive south, arrive lunch. Schönbrunn Palace, Ringstrasse, Naschmarkt, Sachertorte at Café Sacher.</t>
        </is>
      </c>
      <c r="J10" s="17" t="n">
        <v>326</v>
      </c>
      <c r="K10" s="17" t="inlineStr">
        <is>
          <t>🎂 Sachertorte — the original dense chocolate cake with apricot jam (€7–9)</t>
        </is>
      </c>
    </row>
    <row r="11" ht="54.75" customHeight="1" s="35">
      <c r="A11" s="17" t="n">
        <v>6</v>
      </c>
      <c r="B11" s="17" t="inlineStr">
        <is>
          <t>Thu 16 Jul</t>
        </is>
      </c>
      <c r="C11" s="17" t="inlineStr">
        <is>
          <t>Hungary 🇭🇺</t>
        </is>
      </c>
      <c r="D11" s="17" t="inlineStr">
        <is>
          <t>Budapest</t>
        </is>
      </c>
      <c r="E11" s="13" t="inlineStr">
        <is>
          <t>City Home Budapest</t>
        </is>
      </c>
      <c r="F11" s="17" t="inlineStr">
        <is>
          <t>Vienna → Budapest</t>
        </is>
      </c>
      <c r="G11" s="17" t="inlineStr">
        <is>
          <t>~270 km · 2.5–3.5 hrs</t>
        </is>
      </c>
      <c r="H11" s="17" t="inlineStr">
        <is>
          <t>10:00</t>
        </is>
      </c>
      <c r="I11" s="17" t="inlineStr">
        <is>
          <t>Drive Vienna→Budapest. 🧺 LAUNDRY DROP on arrival ~14:00: walk 7 min from City Home to self-service laundry at Dohány u. 37 (cash only HUF/€, ~3,000 HUF / €7.50, open 9am–10pm). Drop, then sightsee while it washes (~3 hrs). Park at City Home underground garage (~€20/night). Walk to Castle Hill via Chain Bridge — funicular up to Fisherman's Bastion, Matthias Church, Buda Castle exterior. Pick up clean clothes ~17:30. Széchenyi Thermal Baths via M1 metro from Oktogon. Goulash dinner; kürtőskalács for the kids. Parliament view from Buda side at sunset.</t>
        </is>
      </c>
      <c r="J11" s="17" t="n">
        <v>282</v>
      </c>
      <c r="K11" s="17" t="inlineStr">
        <is>
          <t>🫓 Lángos — deep-fried dough with sour cream &amp; cheese, Budapest street classic (€2–4)</t>
        </is>
      </c>
    </row>
    <row r="12" ht="54.75" customHeight="1" s="35">
      <c r="A12" s="17" t="n">
        <v>7</v>
      </c>
      <c r="B12" s="17" t="inlineStr">
        <is>
          <t>Fri 17 Jul</t>
        </is>
      </c>
      <c r="C12" s="17" t="inlineStr">
        <is>
          <t>Italy 🇮🇹 (via 🇸🇮)</t>
        </is>
      </c>
      <c r="D12" s="17" t="inlineStr">
        <is>
          <t>Venice / Mestre (mainland)</t>
        </is>
      </c>
      <c r="E12" s="13" t="inlineStr">
        <is>
          <t>Trilocale Venezia Mestre · 5 min Stazione</t>
        </is>
      </c>
      <c r="F12" s="17" t="inlineStr">
        <is>
          <t>Budapest → Bled stop → Mestre</t>
        </is>
      </c>
      <c r="G12" s="17" t="inlineStr">
        <is>
          <t>~530 km · 8–9 hrs</t>
        </is>
      </c>
      <c r="H12" s="9" t="inlineStr">
        <is>
          <t>07:30</t>
        </is>
      </c>
      <c r="I12" s="17" t="inlineStr">
        <is>
          <t>Bled, Slovenia 2.5hr stop — emerald glacial lake, castle, kremšnita cake. Continue to Mestre (mainland Venice). Park free at hotel (much better than €30/day Piazzale Roma garage). Quick freshen-up, then train Mestre → Venezia Santa Lucia (~10 min, ~€1.50, every 5–10 min) for evening on the islands.</t>
        </is>
      </c>
      <c r="J12" s="18" t="n">
        <v>821</v>
      </c>
      <c r="K12" s="18" t="inlineStr">
        <is>
          <t>🍢 Cicchetti — Venetian bar snacks on bread: €1–3 each, best along Ruga degli Orefici</t>
        </is>
      </c>
    </row>
    <row r="13" ht="54.75" customHeight="1" s="35">
      <c r="A13" s="17" t="n">
        <v>8</v>
      </c>
      <c r="B13" s="17" t="inlineStr">
        <is>
          <t>Sat 18 Jul</t>
        </is>
      </c>
      <c r="C13" s="17" t="inlineStr">
        <is>
          <t>Italy 🇮🇹</t>
        </is>
      </c>
      <c r="D13" s="17" t="inlineStr">
        <is>
          <t>Venice / Mestre (mainland)</t>
        </is>
      </c>
      <c r="E13" s="13" t="inlineStr">
        <is>
          <t>Trilocale Venezia Mestre (same hotel)</t>
        </is>
      </c>
      <c r="F13" s="17" t="inlineStr">
        <is>
          <t>Venice (full day)</t>
        </is>
      </c>
      <c r="G13" s="17" t="inlineStr">
        <is>
          <t>—</t>
        </is>
      </c>
      <c r="H13" s="17" t="inlineStr">
        <is>
          <t>Full day</t>
        </is>
      </c>
      <c r="I13" s="17" t="inlineStr">
        <is>
          <t>Full day on Venice islands. Train Mestre → Santa Lucia (~10 min). Gondola ride, St. Mark's Basilica &amp; Doge's Palace, Rialto Bridge, vaporetto to Burano. Train back to Mestre evening. 🧺 OPTIONAL top-up wash: BIO LAVATU at Viale San Marco 98 (300m / 4-min walk, same street as hotel) — only if you didn't do Budapest, or if kids' clothes are particularly grimy from the boat day.</t>
        </is>
      </c>
      <c r="K13" s="0" t="inlineStr">
        <is>
          <t>🐟 Sarde in Saor — sweet &amp; sour marinated sardines, a Venice 1,000-year-old recipe (€5–8)</t>
        </is>
      </c>
    </row>
    <row r="14" ht="54.75" customHeight="1" s="35">
      <c r="A14" s="17" t="n">
        <v>9</v>
      </c>
      <c r="B14" s="17" t="inlineStr">
        <is>
          <t>Sun 19 Jul</t>
        </is>
      </c>
      <c r="C14" s="17" t="inlineStr">
        <is>
          <t>Italy 🇮🇹</t>
        </is>
      </c>
      <c r="D14" s="17" t="inlineStr">
        <is>
          <t>Florence</t>
        </is>
      </c>
      <c r="E14" s="13" t="inlineStr">
        <is>
          <t>Garden Blue (San Gallo / Campo Grande)</t>
        </is>
      </c>
      <c r="F14" s="17" t="inlineStr">
        <is>
          <t>Venice → Florence</t>
        </is>
      </c>
      <c r="G14" s="17" t="inlineStr">
        <is>
          <t>~270 km · 3–3.5 hrs</t>
        </is>
      </c>
      <c r="H14" s="17" t="inlineStr">
        <is>
          <t>10:00</t>
        </is>
      </c>
      <c r="I14" s="17" t="inlineStr">
        <is>
          <t>Drive Mestre→Florence (~270 km · 3–3.5 hrs · start 10:00). La Farina Apartments — eastern Florence near Campo di Marte, has parking, ~10–15 min walk or short bus to Duomo. Apartment has kitchen, Nespresso, dishwasher. Afternoon: Duomo &amp; Baptistery, Ponte Vecchio, Piazzale Michelangelo at golden hour. 🧺 Building basement coin-op laundromat available (get coins from reception) — convenient for next cycle wash on Day 12 Rome timing.</t>
        </is>
      </c>
      <c r="J14" s="29" t="n">
        <v>353</v>
      </c>
      <c r="K14" s="0" t="inlineStr">
        <is>
          <t>🥪 Lampredotto sandwich — Florentine tripe sandwich from a market cart (€4–6)</t>
        </is>
      </c>
    </row>
    <row r="15" ht="129.75" customHeight="1" s="35">
      <c r="A15" s="17" t="n">
        <v>10</v>
      </c>
      <c r="B15" s="17" t="inlineStr">
        <is>
          <t>Mon 20 Jul</t>
        </is>
      </c>
      <c r="C15" s="17" t="inlineStr">
        <is>
          <t>Italy 🇮🇹 (via 🇺 Umbria)</t>
        </is>
      </c>
      <c r="D15" s="17" t="inlineStr">
        <is>
          <t>Rome (Aurelio · west of Vatican)</t>
        </is>
      </c>
      <c r="E15" s="13" t="inlineStr">
        <is>
          <t>Auri apartment (near Vatican Museums)</t>
        </is>
      </c>
      <c r="F15" s="17" t="inlineStr">
        <is>
          <t>Florence → Pisa → Montecchio → Perugia → Rome</t>
        </is>
      </c>
      <c r="G15" s="17" t="inlineStr">
        <is>
          <t>~570 km · 8+ hrs (incl stops)</t>
        </is>
      </c>
      <c r="H15" s="17" t="inlineStr">
        <is>
          <t>09:00 from Florence</t>
        </is>
      </c>
      <c r="I15" s="17" t="inlineStr">
        <is>
          <t>TRAVEL DAY: Florence→Rome via Tuscany+Umbria. Stops: Pisa (Tower photo, ~1hr), Castello di Montecchio Vesponi (~30min), Perugia (Palazzo dei Priori + Arco Etrusco, ~1hr). Arrive Rome ~19:30, check in DaBrieBra Vaticano (Aurelio · 17min walk Vatican). Evening: Cipro metro→Spagna→Trevi Fountain at night (lit, less crowded). ⚠️ Long day · drop Pisa OR Montecchio if kids fading.</t>
        </is>
      </c>
      <c r="J15" s="29" t="n">
        <v>1239</v>
      </c>
      <c r="K15" s="0" t="inlineStr">
        <is>
          <t>🐗 Pasta al Cinghiale — wild boar ragu pasta, an Umbrian road-stop treat (€10–14)</t>
        </is>
      </c>
    </row>
    <row r="16" ht="129.75" customHeight="1" s="35">
      <c r="A16" s="17" t="n">
        <v>11</v>
      </c>
      <c r="B16" s="17" t="inlineStr">
        <is>
          <t>Tue 21 Jul</t>
        </is>
      </c>
      <c r="C16" s="17" t="inlineStr">
        <is>
          <t>Italy 🇮🇹</t>
        </is>
      </c>
      <c r="D16" s="17" t="inlineStr">
        <is>
          <t>Rome (Aurelio · west of Vatican)</t>
        </is>
      </c>
      <c r="E16" s="13" t="inlineStr">
        <is>
          <t>Auri apartment (same)</t>
        </is>
      </c>
      <c r="F16" s="17" t="inlineStr">
        <is>
          <t>Rome → Villa Balke → Pompeii → Castello di Lettere → Rome</t>
        </is>
      </c>
      <c r="G16" s="17" t="inlineStr">
        <is>
          <t>~480 km round · 6+ hrs driving</t>
        </is>
      </c>
      <c r="H16" s="9" t="inlineStr">
        <is>
          <t>07:30 from Rome</t>
        </is>
      </c>
      <c r="I16" s="17" t="inlineStr">
        <is>
          <t>Pompeii + Naples coast day trip from Rome. 07:30 leave · 10:30 lunch at Villa Balke (Torre del Greco, 4.6★) · 12:30–15:00 Pompeii archaeological site (pre-book pompeiisites.org) · 15:30 Castello di Lettere quick stop (Vesuvius views) · ~16:30 drive back to Rome. Optional evening: Cipro→San Giovanni metro for Basilica of San Giovanni in Laterano (Cathedral of Rome, daily Mass 18:00). Skip San Giovanni if exhausted, see Day 12 morning.</t>
        </is>
      </c>
      <c r="K16" s="0" t="inlineStr">
        <is>
          <t>🍙 Supplì al Telefono — fried rice balls with mozzarella that 'rings' when pulled apart (€2–3)</t>
        </is>
      </c>
    </row>
    <row r="17" ht="129.75" customHeight="1" s="35">
      <c r="A17" s="17" t="n">
        <v>12</v>
      </c>
      <c r="B17" s="17" t="inlineStr">
        <is>
          <t>Wed 22 Jul</t>
        </is>
      </c>
      <c r="C17" s="17" t="inlineStr">
        <is>
          <t>Italy 🇮🇹 / Vatican City</t>
        </is>
      </c>
      <c r="D17" s="17" t="inlineStr">
        <is>
          <t>Rome — Vatican walking day</t>
        </is>
      </c>
      <c r="E17" s="13" t="inlineStr">
        <is>
          <t>Auri apartment (same)</t>
        </is>
      </c>
      <c r="F17" s="17" t="inlineStr">
        <is>
          <t>Walking day (no driving)</t>
        </is>
      </c>
      <c r="G17" s="17" t="inlineStr">
        <is>
          <t>~10 km on foot</t>
        </is>
      </c>
      <c r="H17" s="17" t="inlineStr">
        <is>
          <t>07:00 leave hotel</t>
        </is>
      </c>
      <c r="I17" s="17" t="inlineStr">
        <is>
          <t>VATICAN DAY · the trip's biggest single day (~10km walking). 08:30 walk 17min to Vatican Museums entrance. 09:00 Vatican Museums (pre-booked museivaticani.va) · Gallery of Maps · Sistine Chapel. Use chapel-to-basilica shortcut into St. Peter's. Lunch in Borgo Pio (skip Via della Conciliazione tourist traps). Castel Sant'Angelo + Bridge of Angels. Walk to Piazza Navona for evening. Dinner around Piazza Navona, gelato Tre Scalini (truffle). Taxi back to hotel. Daily Mass at St. Peter's 17:00 (Italian) for today's Mass.</t>
        </is>
      </c>
      <c r="K17" s="0" t="inlineStr">
        <is>
          <t>🫙 Trapizzino — triangular pizza pocket stuffed with braised meats (€3–5)</t>
        </is>
      </c>
    </row>
    <row r="18" ht="54.75" customHeight="1" s="35">
      <c r="A18" s="17" t="n">
        <v>13</v>
      </c>
      <c r="B18" s="17" t="inlineStr">
        <is>
          <t>Thu 23 Jul</t>
        </is>
      </c>
      <c r="C18" s="17" t="inlineStr">
        <is>
          <t>Italy 🇮🇹</t>
        </is>
      </c>
      <c r="D18" s="17" t="inlineStr">
        <is>
          <t>Milan</t>
        </is>
      </c>
      <c r="E18" s="17" t="inlineStr">
        <is>
          <t>Rasika Ayya's place (friend stay) 💚</t>
        </is>
      </c>
      <c r="F18" s="17" t="inlineStr">
        <is>
          <t>Rome → Florence stop → Milan</t>
        </is>
      </c>
      <c r="G18" s="17" t="inlineStr">
        <is>
          <t>~580 km · 6.5–7.5 hrs</t>
        </is>
      </c>
      <c r="H18" s="9" t="inlineStr">
        <is>
          <t>07:30</t>
        </is>
      </c>
      <c r="I18" s="17" t="inlineStr">
        <is>
          <t>Drive north Rome→Milan via Florence stop. Arrive Milan late afternoon, dinner with Rasika Ayya &amp; family. Address TBC.</t>
        </is>
      </c>
      <c r="K18" s="0" t="inlineStr">
        <is>
          <t>🫔 Panzerotti at Luini — fried pizza pocket with tomato &amp; mozzarella (€3–4)</t>
        </is>
      </c>
    </row>
    <row r="19" ht="54.75" customHeight="1" s="35">
      <c r="A19" s="17" t="n">
        <v>14</v>
      </c>
      <c r="B19" s="17" t="inlineStr">
        <is>
          <t>Fri 24 Jul</t>
        </is>
      </c>
      <c r="C19" s="17" t="inlineStr">
        <is>
          <t>Switzerland 🇨🇭 (via 🇮🇹)</t>
        </is>
      </c>
      <c r="D19" s="17" t="inlineStr">
        <is>
          <t>Stalden (Valais)</t>
        </is>
      </c>
      <c r="E19" s="17" t="inlineStr">
        <is>
          <t>Postman 8 · Room 3 (Kirchweg 8, 3922 Stalden)</t>
        </is>
      </c>
      <c r="F19" s="17" t="inlineStr">
        <is>
          <t>Milan (half-day) → Stalden</t>
        </is>
      </c>
      <c r="G19" s="17" t="inlineStr">
        <is>
          <t>~290 km · 3.5–4 hrs (incl. Simplon)</t>
        </is>
      </c>
      <c r="H19" s="17" t="inlineStr">
        <is>
          <t>08:30 Duomo · 14:30 leave Milan</t>
        </is>
      </c>
      <c r="I19" s="17" t="inlineStr">
        <is>
          <t>MORNING MILAN: Duomo + rooftop terrace (pre-book), Galleria Vittorio Emanuele II, Piazza della Scala exterior, Castello Sforzesco courtyards, lunch in Brera. AFTERNOON: drive Milan → Stalden via Lugano + Simplon Pass. Arrive Stalden ~18:00. Stalden is on the Zermatt train line — walk to Stalden-Saas station for tomorrow's Gornergrat.</t>
        </is>
      </c>
      <c r="J19" s="29" t="n">
        <v>374</v>
      </c>
      <c r="K19" s="0" t="inlineStr">
        <is>
          <t>🍦 Gelato at Lake Maggiore — artisan gelato on the Stresa lakefront before Simplon Pass (€2–4)</t>
        </is>
      </c>
    </row>
    <row r="20" ht="54.75" customHeight="1" s="35">
      <c r="A20" s="17" t="n">
        <v>15</v>
      </c>
      <c r="B20" s="17" t="inlineStr">
        <is>
          <t>Sat 25 Jul</t>
        </is>
      </c>
      <c r="C20" s="17" t="inlineStr">
        <is>
          <t>Switzerland 🇨🇭</t>
        </is>
      </c>
      <c r="D20" s="17" t="inlineStr">
        <is>
          <t>Moléson-sur-Gruyères (Fribourg)</t>
        </is>
      </c>
      <c r="E20" s="17" t="inlineStr">
        <is>
          <t>La Pierre à Catillon (Route de Moléson 228, 1663)</t>
        </is>
      </c>
      <c r="F20" s="17" t="inlineStr">
        <is>
          <t>Stalden ↔ Zermatt (Gornergrat) → Moléson</t>
        </is>
      </c>
      <c r="G20" s="17" t="inlineStr">
        <is>
          <t>Train 30min·Stalden→Zermatt · ~190 km drive</t>
        </is>
      </c>
      <c r="H20" s="9" t="inlineStr">
        <is>
          <t>~07:00 Gornergrat · 13:00 leave Stalden</t>
        </is>
      </c>
      <c r="I20" s="17" t="inlineStr">
        <is>
          <t>GORNERGRAT MORNING: walk to Stalden-Saas station, regional train to Zermatt (~30 min), transfer to Gornergrat Bahn cog railway (33 min to 3,089m). Matterhorn face-to-face. Back to Stalden by ~12:00. AFTERNOON DRIVE: Stalden → Moléson-sur-Gruyères via Aigle / A9 (skip Bern route, A9 is faster) ~2.5–3 hrs. Arrive Moléson ~16:00. Optional Maison Cailler chocolate factory at Broc on the way (~15 min from Moléson, closes ~17:00).</t>
        </is>
      </c>
      <c r="J20" s="29" t="n">
        <v>816</v>
      </c>
      <c r="K20" s="0" t="inlineStr">
        <is>
          <t>🧀 Gruyère Fondue — melted cheese dip in a communal pot, in the home of Gruyère (CHF 22–28)</t>
        </is>
      </c>
    </row>
    <row r="21" ht="54.75" customHeight="1" s="35">
      <c r="A21" s="17" t="n">
        <v>16</v>
      </c>
      <c r="B21" s="17" t="inlineStr">
        <is>
          <t>Sun 26 Jul</t>
        </is>
      </c>
      <c r="C21" s="17" t="inlineStr">
        <is>
          <t>Switzerland 🇨🇭</t>
        </is>
      </c>
      <c r="D21" s="17" t="inlineStr">
        <is>
          <t>Moléson-sur-Gruyères (Fribourg)</t>
        </is>
      </c>
      <c r="E21" s="17" t="inlineStr">
        <is>
          <t>La Pierre à Catillon (same hotel, 2nd night)</t>
        </is>
      </c>
      <c r="F21" s="17" t="inlineStr">
        <is>
          <t>Moléson → Geneva day trip → Moléson</t>
        </is>
      </c>
      <c r="G21" s="17" t="inlineStr">
        <is>
          <t>~80 km / 1h 15min each way</t>
        </is>
      </c>
      <c r="H21" s="17" t="inlineStr">
        <is>
          <t>08:30 leave for 10:15 Mass</t>
        </is>
      </c>
      <c r="I21" s="17" t="inlineStr">
        <is>
          <t>GENEVA SUNDAY: drive Moléson → Geneva (1h 15min). 10:15 Mass at Basilique Notre-Dame (Pl. de Cornavin, by main station — easy parking). Sunday Masses also at 7:30, 9:00, 11:30, 17:00, 19:00 (English), 20:30. AFTER MASS: walk to Old Town via Pont du Mont-Blanc, Cathédrale Saint-Pierre + tower climb (~CHF 7), Place du Bourg-de-Four lunch, Jet d'Eau, Jardin Anglais + Flower Clock, Mouettes ferry across the lake, Bains des Pâquis (swim if hot), Reformation Wall in Parc des Bastions. Return to Moléson by ~19:00.</t>
        </is>
      </c>
      <c r="K21" s="0" t="inlineStr">
        <is>
          <t>🫕 Raclette — scraped melted cheese over potatoes &amp; pickles (CHF 18–25)</t>
        </is>
      </c>
    </row>
    <row r="22" ht="54.75" customHeight="1" s="35">
      <c r="A22" s="17" t="n">
        <v>17</v>
      </c>
      <c r="B22" s="17" t="inlineStr">
        <is>
          <t>Mon 27 Jul</t>
        </is>
      </c>
      <c r="C22" s="17" t="inlineStr">
        <is>
          <t>Switzerland 🇨🇭</t>
        </is>
      </c>
      <c r="D22" s="17" t="inlineStr">
        <is>
          <t>Zürich</t>
        </is>
      </c>
      <c r="E22" s="17" t="inlineStr">
        <is>
          <t>TBD</t>
        </is>
      </c>
      <c r="F22" s="17" t="inlineStr">
        <is>
          <t>Moléson → Bern stop → Zürich</t>
        </is>
      </c>
      <c r="G22" s="17" t="inlineStr">
        <is>
          <t>~245 km · 3 hrs + Bern stop</t>
        </is>
      </c>
      <c r="H22" s="17" t="inlineStr">
        <is>
          <t>09:30 leave Moléson</t>
        </is>
      </c>
      <c r="I22" s="17" t="inlineStr">
        <is>
          <t>Drive Moléson → Bern (~1 hr) — park Bahnhof Parking. BERN STOP 10:30–14:00: Zytglogge (mechanical clock on the hour), Kramgasse arcades, Münster (climb the spire), BärenPark (live bears! free), lunch in a Kramgasse cellar. Continue Bern → Zürich (~1.5 hrs), arrive ~15:30, check in. EVENING ZÜRICH: Niederdorf + Altstadt, Grossmünster, Lindenhof viewpoint, lake at sunset, Bahnhofstrasse window-walk. Dinner: Zeughauskeller (Swiss classics) or Swiss Chuchi (fondue).</t>
        </is>
      </c>
      <c r="J22" s="29" t="n">
        <v>323</v>
      </c>
      <c r="K22" s="0" t="inlineStr">
        <is>
          <t>🍫 Swiss Chocolate — Läderach or Lindt shop tasting, pick your bar (CHF 5–15)</t>
        </is>
      </c>
    </row>
    <row r="23" ht="54.75" customHeight="1" s="35">
      <c r="A23" s="17" t="n">
        <v>18</v>
      </c>
      <c r="B23" s="17" t="inlineStr">
        <is>
          <t>Tue 28 Jul</t>
        </is>
      </c>
      <c r="C23" s="17" t="inlineStr">
        <is>
          <t>France 🇫🇷</t>
        </is>
      </c>
      <c r="D23" s="17" t="inlineStr">
        <is>
          <t>Paris</t>
        </is>
      </c>
      <c r="E23" s="17" t="inlineStr">
        <is>
          <t>TBD</t>
        </is>
      </c>
      <c r="F23" s="17" t="inlineStr">
        <is>
          <t>Zürich → MUC drop → Paris</t>
        </is>
      </c>
      <c r="G23" s="17" t="inlineStr">
        <is>
          <t>~340 km + ✈ 1h 45m</t>
        </is>
      </c>
      <c r="H23" s="9" t="inlineStr">
        <is>
          <t>08:00</t>
        </is>
      </c>
      <c r="I23" s="17" t="inlineStr">
        <is>
          <t>Optional Rhine Falls 30min from Zürich. Drive MUC ~3.5hrs — drop rental car at T2. Fly MUC→CDG. Eiffel Tower evening.</t>
        </is>
      </c>
      <c r="J23" s="29">
        <f>261</f>
        <v/>
      </c>
      <c r="K23" s="0" t="inlineStr">
        <is>
          <t>🥐 Croissant + café crème — flaky butter croissant at a pavement café (€3–5)</t>
        </is>
      </c>
    </row>
    <row r="24" ht="54.75" customHeight="1" s="35">
      <c r="A24" s="17" t="n">
        <v>19</v>
      </c>
      <c r="B24" s="17" t="inlineStr">
        <is>
          <t>Wed 29 Jul</t>
        </is>
      </c>
      <c r="C24" s="17" t="inlineStr">
        <is>
          <t>France 🇫🇷</t>
        </is>
      </c>
      <c r="D24" s="17" t="inlineStr">
        <is>
          <t>Lourdes</t>
        </is>
      </c>
      <c r="E24" s="17" t="inlineStr">
        <is>
          <t>TBD</t>
        </is>
      </c>
      <c r="F24" s="17" t="inlineStr">
        <is>
          <t>Paris → Lourdes (TGV)</t>
        </is>
      </c>
      <c r="G24" s="17" t="inlineStr">
        <is>
          <t>🚆 TGV ~5 hrs</t>
        </is>
      </c>
      <c r="H24" s="9" t="inlineStr">
        <is>
          <t>08:00 from Montparnasse</t>
        </is>
      </c>
      <c r="I24" s="17" t="inlineStr">
        <is>
          <t>TGV Paris Montparnasse → Lourdes. Sanctuary of Our Lady, Grotto of Massabielle. Evening candlelight Torch Procession.</t>
        </is>
      </c>
      <c r="K24" s="0" t="inlineStr">
        <is>
          <t>🥞 Crêpe — thin sweet crêpe from a street crêperie, with Nutella or jam (€3–6)</t>
        </is>
      </c>
    </row>
    <row r="25" ht="54.75" customHeight="1" s="35">
      <c r="A25" s="7" t="n">
        <v>20</v>
      </c>
      <c r="B25" s="7" t="inlineStr">
        <is>
          <t>Thu 30 Jul</t>
        </is>
      </c>
      <c r="C25" s="7" t="inlineStr">
        <is>
          <t>Netherlands 🇳🇱</t>
        </is>
      </c>
      <c r="D25" s="7" t="inlineStr">
        <is>
          <t>Amsterdam</t>
        </is>
      </c>
      <c r="E25" s="7" t="inlineStr">
        <is>
          <t>TBD</t>
        </is>
      </c>
      <c r="F25" s="7" t="inlineStr">
        <is>
          <t>Lourdes → Paris → Amsterdam</t>
        </is>
      </c>
      <c r="G25" s="7" t="inlineStr">
        <is>
          <t>🚆 TGV + Thalys</t>
        </is>
      </c>
      <c r="H25" s="7" t="inlineStr">
        <is>
          <t>08:00 Lourdes — critical!</t>
        </is>
      </c>
      <c r="I25" s="7" t="inlineStr">
        <is>
          <t>Sacred Baths + Mass 05:30–07:30. TGV Lourdes 08:00 → Paris 13:00. Taxi 40min Montparnasse → Gare du Nord. Thalys 14:13 → Amsterdam 17:32. Canal walk evening.</t>
        </is>
      </c>
      <c r="K25" s="0" t="inlineStr">
        <is>
          <t>🧇 Stroopwafel — caramel-filled waffle sandwich, best eaten warm over a hot cup (€2–3)</t>
        </is>
      </c>
    </row>
    <row r="26" ht="54.75" customHeight="1" s="35">
      <c r="A26" s="17" t="n">
        <v>21</v>
      </c>
      <c r="B26" s="17" t="inlineStr">
        <is>
          <t>Fri 31 Jul</t>
        </is>
      </c>
      <c r="C26" s="17" t="inlineStr">
        <is>
          <t>Germany 🇩🇪</t>
        </is>
      </c>
      <c r="D26" s="17" t="inlineStr">
        <is>
          <t>Berlin</t>
        </is>
      </c>
      <c r="E26" s="17" t="inlineStr">
        <is>
          <t>TBD</t>
        </is>
      </c>
      <c r="F26" s="17" t="inlineStr">
        <is>
          <t>Amsterdam → Berlin (ICE)</t>
        </is>
      </c>
      <c r="G26" s="17" t="inlineStr">
        <is>
          <t>🚆 ICE ~6 hrs</t>
        </is>
      </c>
      <c r="H26" s="17" t="inlineStr">
        <is>
          <t>09:00 from AMS</t>
        </is>
      </c>
      <c r="I26" s="17" t="inlineStr">
        <is>
          <t>Morning Amsterdam — canals, Rijksmuseum. ICE train to Berlin, arrive ~15:00. East Side Gallery, Brandenburg Gate at dusk.</t>
        </is>
      </c>
      <c r="K26" s="0" t="inlineStr">
        <is>
          <t>🌭 Currywurst — sliced pork sausage in curried ketchup, Berlin's street-food king (€3–5)</t>
        </is>
      </c>
    </row>
    <row r="27" ht="54.75" customHeight="1" s="35">
      <c r="A27" s="17" t="n">
        <v>22</v>
      </c>
      <c r="B27" s="17" t="inlineStr">
        <is>
          <t>Sat 1 Aug</t>
        </is>
      </c>
      <c r="C27" s="17" t="inlineStr">
        <is>
          <t>Germany 🇩🇪</t>
        </is>
      </c>
      <c r="D27" s="17" t="inlineStr">
        <is>
          <t>Berlin</t>
        </is>
      </c>
      <c r="E27" s="17" t="inlineStr">
        <is>
          <t>TBD (same Berlin hotel)</t>
        </is>
      </c>
      <c r="F27" s="17" t="inlineStr">
        <is>
          <t>Berlin (full day)</t>
        </is>
      </c>
      <c r="G27" s="17" t="inlineStr">
        <is>
          <t>—</t>
        </is>
      </c>
      <c r="H27" s="17" t="inlineStr">
        <is>
          <t>Full day</t>
        </is>
      </c>
      <c r="I27" s="17" t="inlineStr">
        <is>
          <t>Holocaust Memorial, Reichstag dome (pre-register bundestag.de), East Side Gallery, Museum Island (Pergamon), Tiergarten.</t>
        </is>
      </c>
      <c r="K27" s="0" t="inlineStr">
        <is>
          <t>🥙 Döner Kebab — Berlin-style flatbread kebab, the city's unofficial dish (€4–6)</t>
        </is>
      </c>
    </row>
    <row r="28" ht="54.75" customHeight="1" s="35">
      <c r="A28" s="7" t="n">
        <v>23</v>
      </c>
      <c r="B28" s="7" t="inlineStr">
        <is>
          <t>Sun 2 Aug</t>
        </is>
      </c>
      <c r="C28" s="7" t="inlineStr">
        <is>
          <t>Denmark 🇩🇰</t>
        </is>
      </c>
      <c r="D28" s="7" t="inlineStr">
        <is>
          <t>Copenhagen</t>
        </is>
      </c>
      <c r="E28" s="7" t="inlineStr">
        <is>
          <t>TBD</t>
        </is>
      </c>
      <c r="F28" s="7" t="inlineStr">
        <is>
          <t>Berlin → Copenhagen (fly)</t>
        </is>
      </c>
      <c r="G28" s="7" t="inlineStr">
        <is>
          <t>✈ ~1h 10min</t>
        </is>
      </c>
      <c r="H28" s="7" t="inlineStr">
        <is>
          <t>10:00 BER</t>
        </is>
      </c>
      <c r="I28" s="7" t="inlineStr">
        <is>
          <t>Fly BER→CPH. Arrive midday. Nyhavn colourful harbour, Tivoli Gardens, The Little Mermaid, Strøget shopping.</t>
        </is>
      </c>
      <c r="K28" s="0" t="inlineStr">
        <is>
          <t>🥐 Wienerbrød — flaky Danish pastry from a konditori bakery (DKK 25–45)</t>
        </is>
      </c>
    </row>
    <row r="29" ht="54.75" customHeight="1" s="35">
      <c r="A29" s="8" t="n">
        <v>24</v>
      </c>
      <c r="B29" s="8" t="inlineStr">
        <is>
          <t>Mon 3 Aug</t>
        </is>
      </c>
      <c r="C29" s="8" t="inlineStr">
        <is>
          <t>Sweden 🇸🇪</t>
        </is>
      </c>
      <c r="D29" s="8" t="inlineStr">
        <is>
          <t>Gothenburg</t>
        </is>
      </c>
      <c r="E29" s="8" t="inlineStr">
        <is>
          <t>TBD</t>
        </is>
      </c>
      <c r="F29" s="8" t="inlineStr">
        <is>
          <t>Copenhagen → Gothenburg (X2000)</t>
        </is>
      </c>
      <c r="G29" s="8" t="inlineStr">
        <is>
          <t>🚆 X2000 ~3.5 hrs</t>
        </is>
      </c>
      <c r="H29" s="8" t="inlineStr">
        <is>
          <t>11:00 from CPH</t>
        </is>
      </c>
      <c r="I29" s="8" t="inlineStr">
        <is>
          <t>Morning Copenhagen — Rosenborg Castle. X2000 train via Øresund Bridge. Meet sister! Harbour seafood dinner.</t>
        </is>
      </c>
      <c r="K29" s="0" t="inlineStr">
        <is>
          <t>🍝 Köttbullar — Swedish meatballs with gravy, lingonberry &amp; mash (€9–14)</t>
        </is>
      </c>
    </row>
    <row r="30" ht="54.75" customHeight="1" s="35">
      <c r="A30" s="8" t="n">
        <v>25</v>
      </c>
      <c r="B30" s="8" t="inlineStr">
        <is>
          <t>Tue 4 Aug</t>
        </is>
      </c>
      <c r="C30" s="8" t="inlineStr">
        <is>
          <t>Sweden 🇸🇪</t>
        </is>
      </c>
      <c r="D30" s="8" t="inlineStr">
        <is>
          <t>Gothenburg</t>
        </is>
      </c>
      <c r="E30" s="8" t="inlineStr">
        <is>
          <t>TBD (same Gothenburg hotel)</t>
        </is>
      </c>
      <c r="F30" s="8" t="inlineStr">
        <is>
          <t>Gothenburg (full day)</t>
        </is>
      </c>
      <c r="G30" s="8" t="inlineStr">
        <is>
          <t>—</t>
        </is>
      </c>
      <c r="H30" s="8" t="inlineStr">
        <is>
          <t>Full day</t>
        </is>
      </c>
      <c r="I30" s="8" t="inlineStr">
        <is>
          <t>Liseberg amusement park, Haga cobblestone (giant cinnamon buns!), West Sweden Archipelago boat, harbour seafood evening.</t>
        </is>
      </c>
      <c r="K30" s="0" t="inlineStr">
        <is>
          <t>🦐 Räkmacka — open shrimp sandwich on rye bread with mayo &amp; dill (€12–18)</t>
        </is>
      </c>
    </row>
    <row r="31" ht="54.75" customHeight="1" s="35">
      <c r="A31" s="17" t="inlineStr">
        <is>
          <t>—</t>
        </is>
      </c>
      <c r="B31" s="17" t="inlineStr">
        <is>
          <t>Wed 5 Aug</t>
        </is>
      </c>
      <c r="C31" s="17" t="inlineStr">
        <is>
          <t>Germany 🇩🇪</t>
        </is>
      </c>
      <c r="D31" s="17" t="inlineStr">
        <is>
          <t>Munich</t>
        </is>
      </c>
      <c r="E31" s="17" t="inlineStr">
        <is>
          <t>Novotel MUC Airport (TBD)</t>
        </is>
      </c>
      <c r="F31" s="17" t="inlineStr">
        <is>
          <t>Gothenburg → Munich (fly)</t>
        </is>
      </c>
      <c r="G31" s="17" t="inlineStr">
        <is>
          <t>✈ ~2 hrs</t>
        </is>
      </c>
      <c r="H31" s="9" t="inlineStr">
        <is>
          <t>06:30 GOT</t>
        </is>
      </c>
      <c r="I31" s="17" t="inlineStr">
        <is>
          <t>Wake 05:00. Taxi 05:20. GOT→MUC, land 08:30. Novotel MUC overnight ~€60–80 day-use OR full overnight. Optional Munich city via S-Bahn. Airport by 21:00.</t>
        </is>
      </c>
      <c r="K31" s="0" t="inlineStr">
        <is>
          <t>🥨 Brezel + Weisswurst — last German treat before the airport (€6–9)</t>
        </is>
      </c>
    </row>
    <row r="32" ht="54.75" customHeight="1" s="35">
      <c r="A32" s="17" t="inlineStr">
        <is>
          <t>—</t>
        </is>
      </c>
      <c r="B32" s="17" t="inlineStr">
        <is>
          <t>Thu 6 Aug</t>
        </is>
      </c>
      <c r="C32" s="17" t="inlineStr">
        <is>
          <t>In transit 🇩🇪→🇨🇳</t>
        </is>
      </c>
      <c r="D32" s="17" t="inlineStr">
        <is>
          <t>Munich → Beijing</t>
        </is>
      </c>
      <c r="E32" s="17" t="inlineStr">
        <is>
          <t>—</t>
        </is>
      </c>
      <c r="F32" s="17" t="inlineStr">
        <is>
          <t>Munich → Beijing (CA962)</t>
        </is>
      </c>
      <c r="G32" s="17" t="inlineStr">
        <is>
          <t>✈ 9h 45m</t>
        </is>
      </c>
      <c r="H32" s="17" t="inlineStr">
        <is>
          <t>13:00 depart</t>
        </is>
      </c>
      <c r="I32" s="17" t="inlineStr">
        <is>
          <t>Check-in MUC T2 by 10:30, board 11:00. Land PEK 04:45 Fri 7 Aug. Rest ~3hrs. Great Wall at Mutianyu. Back T3 by 21:00.</t>
        </is>
      </c>
      <c r="K32" s="0" t="inlineStr">
        <is>
          <t>🫔 Jianbing 煎饼 — egg crêpe with crispy wonton, Beijing's ultimate street breakfast (¥8–15)</t>
        </is>
      </c>
    </row>
    <row r="33" ht="54.75" customHeight="1" s="35">
      <c r="A33" s="17" t="inlineStr">
        <is>
          <t>—</t>
        </is>
      </c>
      <c r="B33" s="17" t="inlineStr">
        <is>
          <t>Sat 8 Aug</t>
        </is>
      </c>
      <c r="C33" s="17" t="inlineStr">
        <is>
          <t>New Zealand 🇳🇿</t>
        </is>
      </c>
      <c r="D33" s="17" t="inlineStr">
        <is>
          <t>Auckland 🏠</t>
        </is>
      </c>
      <c r="E33" s="17" t="inlineStr">
        <is>
          <t>—</t>
        </is>
      </c>
      <c r="F33" s="17" t="inlineStr">
        <is>
          <t>Beijing → Auckland (CA783)</t>
        </is>
      </c>
      <c r="G33" s="17" t="inlineStr">
        <is>
          <t>✈ 12h 25m</t>
        </is>
      </c>
      <c r="H33" s="17" t="inlineStr">
        <is>
          <t>00:05 depart PEK</t>
        </is>
      </c>
      <c r="I33" s="17" t="inlineStr">
        <is>
          <t>CA783 PEK 00:05 → AKL 16:30. 25 nights, 23 destinations, two Beijing stopovers, sister visit — welcome home.</t>
        </is>
      </c>
      <c r="K33" s="0" t="inlineStr">
        <is>
          <t>🥝 Pavlova — NZ national dessert: meringue base, whipped cream &amp; kiwifruit (NZ$8–14)</t>
        </is>
      </c>
    </row>
    <row r="34" ht="15.75" customHeight="1" s="35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inlineStr">
        <is>
          <t>Muc-&gt;Lourdes</t>
        </is>
      </c>
      <c r="J35" s="29" t="n">
        <v>2150.93</v>
      </c>
    </row>
    <row r="36" ht="15.75" customHeight="1" s="35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inlineStr">
        <is>
          <t>Lourdes-&gt;Ams</t>
        </is>
      </c>
      <c r="J36" s="29" t="n">
        <v>1210.23</v>
      </c>
    </row>
    <row r="37" ht="15.75" customHeight="1" s="35">
      <c r="A37" s="18" t="n"/>
      <c r="B37" s="18" t="n"/>
      <c r="C37" s="18" t="n"/>
      <c r="D37" s="18" t="n"/>
      <c r="E37" s="18" t="n"/>
      <c r="F37" s="18" t="n"/>
      <c r="G37" s="18" t="n"/>
      <c r="H37" s="18" t="n"/>
      <c r="I37" s="29" t="inlineStr">
        <is>
          <t>Lourds car rental</t>
        </is>
      </c>
      <c r="J37" s="29" t="n">
        <v>207.7</v>
      </c>
    </row>
    <row r="38" ht="15.75" customHeight="1" s="35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 ht="15.75" customHeight="1" s="35">
      <c r="A39" s="18" t="n"/>
      <c r="B39" s="18" t="n"/>
      <c r="C39" s="18" t="n"/>
      <c r="D39" s="18" t="n"/>
      <c r="E39" s="18" t="n"/>
      <c r="F39" s="18" t="n"/>
      <c r="G39" s="18" t="n"/>
      <c r="H39" s="18" t="n"/>
      <c r="I39" s="29" t="inlineStr">
        <is>
          <t>Ams-&gt;Cop</t>
        </is>
      </c>
    </row>
    <row r="40" ht="15.75" customHeight="1" s="35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inlineStr">
        <is>
          <t>Cop-&gt;Got</t>
        </is>
      </c>
    </row>
    <row r="41" ht="15.75" customHeight="1" s="35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inlineStr">
        <is>
          <t>MainFlights</t>
        </is>
      </c>
      <c r="J41" s="20" t="n">
        <v>11560</v>
      </c>
    </row>
    <row r="42" ht="15.75" customHeight="1" s="35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inlineStr">
        <is>
          <t>Meals</t>
        </is>
      </c>
      <c r="J42" s="18">
        <f>150*28</f>
        <v/>
      </c>
    </row>
    <row r="43" ht="15.75" customHeight="1" s="35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inlineStr">
        <is>
          <t>Fuel</t>
        </is>
      </c>
      <c r="J43" s="18" t="n">
        <v>3000</v>
      </c>
    </row>
    <row r="44" ht="15.75" customHeight="1" s="35">
      <c r="A44" s="18" t="n"/>
      <c r="B44" s="18" t="n"/>
      <c r="C44" s="18" t="n"/>
      <c r="D44" s="18" t="n"/>
      <c r="E44" s="18" t="n"/>
      <c r="F44" s="18" t="n"/>
      <c r="G44" s="18" t="n"/>
      <c r="H44" s="18" t="n"/>
      <c r="I44" s="22" t="inlineStr">
        <is>
          <t>Total</t>
        </is>
      </c>
      <c r="J44" s="22">
        <f>SUM(J4:J43)</f>
        <v/>
      </c>
    </row>
    <row r="45" ht="15.75" customHeight="1" s="3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 ht="15.75" customHeight="1" s="35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5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 ht="15.75" customHeight="1" s="35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 ht="15.75" customHeight="1" s="35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inlineStr">
        <is>
          <t>Rental saving</t>
        </is>
      </c>
      <c r="J49" s="18" t="n">
        <v>5000</v>
      </c>
    </row>
    <row r="50" ht="15.75" customHeight="1" s="35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inlineStr">
        <is>
          <t>Cash back</t>
        </is>
      </c>
      <c r="J50" s="18" t="n">
        <v>11560</v>
      </c>
    </row>
    <row r="51" ht="15.75" customHeight="1" s="35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 ht="15.75" customHeight="1" s="35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 ht="15.75" customHeight="1" s="35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 ht="15.75" customHeight="1" s="35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 ht="15.75" customHeight="1" s="3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 ht="15.75" customHeight="1" s="35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 ht="15.75" customHeight="1" s="35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 ht="15.75" customHeight="1" s="35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 ht="15.75" customHeight="1" s="35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 ht="15.75" customHeight="1" s="35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  <row r="61" ht="15.75" customHeight="1" s="35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 ht="15.75" customHeight="1" s="35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</row>
    <row r="63" ht="15.75" customHeight="1" s="35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</row>
    <row r="64" ht="15.75" customHeight="1" s="35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</row>
    <row r="65" ht="15.75" customHeight="1" s="3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 ht="15.75" customHeight="1" s="35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 ht="15.75" customHeight="1" s="35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</row>
    <row r="68" ht="15.75" customHeight="1" s="35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</row>
    <row r="69" ht="15.75" customHeight="1" s="35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</row>
    <row r="70" ht="15.75" customHeight="1" s="35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</row>
    <row r="71" ht="15.75" customHeight="1" s="35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</row>
    <row r="72" ht="15.75" customHeight="1" s="35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</row>
    <row r="73" ht="15.75" customHeight="1" s="35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</row>
    <row r="74" ht="15.75" customHeight="1" s="35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</row>
    <row r="75" ht="15.75" customHeight="1" s="3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</row>
    <row r="76" ht="15.75" customHeight="1" s="35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</row>
    <row r="77" ht="15.75" customHeight="1" s="35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78" ht="15.75" customHeight="1" s="35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</row>
    <row r="79" ht="15.75" customHeight="1" s="35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</row>
    <row r="80" ht="15.75" customHeight="1" s="35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</row>
    <row r="81" ht="15.75" customHeight="1" s="35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</row>
    <row r="82" ht="15.75" customHeight="1" s="35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</row>
    <row r="83" ht="15.75" customHeight="1" s="35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</row>
    <row r="84" ht="15.75" customHeight="1" s="35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</row>
    <row r="85" ht="15.75" customHeight="1" s="3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</row>
    <row r="86" ht="15.75" customHeight="1" s="35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</row>
    <row r="87" ht="15.75" customHeight="1" s="35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</row>
    <row r="88" ht="15.75" customHeight="1" s="35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</row>
    <row r="89" ht="15.75" customHeight="1" s="35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</row>
    <row r="90" ht="15.75" customHeight="1" s="35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</row>
    <row r="91" ht="15.75" customHeight="1" s="35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</row>
    <row r="92" ht="15.75" customHeight="1" s="35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</row>
    <row r="93" ht="15.75" customHeight="1" s="35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</row>
    <row r="94" ht="15.75" customHeight="1" s="35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</row>
    <row r="95" ht="15.75" customHeight="1" s="3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</row>
    <row r="96" ht="15.75" customHeight="1" s="35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</row>
    <row r="97" ht="15.75" customHeight="1" s="35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</row>
    <row r="98" ht="15.75" customHeight="1" s="35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</row>
    <row r="99" ht="15.75" customHeight="1" s="35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</row>
    <row r="100" ht="15.75" customHeight="1" s="35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</row>
    <row r="101" ht="15.75" customHeight="1" s="35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</row>
    <row r="102" ht="15.75" customHeight="1" s="35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</row>
    <row r="103" ht="15.75" customHeight="1" s="35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</row>
    <row r="104" ht="15.75" customHeight="1" s="35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</row>
    <row r="105" ht="15.75" customHeight="1" s="3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</row>
    <row r="106" ht="15.75" customHeight="1" s="35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</row>
    <row r="107" ht="15.75" customHeight="1" s="35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</row>
    <row r="108" ht="15.75" customHeight="1" s="35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</row>
    <row r="109" ht="15.75" customHeight="1" s="35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</row>
    <row r="110" ht="15.75" customHeight="1" s="35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</row>
    <row r="111" ht="15.75" customHeight="1" s="35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</row>
    <row r="112" ht="15.75" customHeight="1" s="35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</row>
    <row r="113" ht="15.75" customHeight="1" s="35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</row>
    <row r="114" ht="15.75" customHeight="1" s="35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</row>
    <row r="115" ht="15.75" customHeight="1" s="3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</row>
    <row r="116" ht="15.75" customHeight="1" s="35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</row>
    <row r="117" ht="15.75" customHeight="1" s="35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</row>
    <row r="118" ht="15.75" customHeight="1" s="35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</row>
    <row r="119" ht="15.75" customHeight="1" s="35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</row>
    <row r="120" ht="15.75" customHeight="1" s="35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</row>
    <row r="121" ht="15.75" customHeight="1" s="35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</row>
    <row r="122" ht="15.75" customHeight="1" s="35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</row>
    <row r="123" ht="15.75" customHeight="1" s="35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</row>
    <row r="124" ht="15.75" customHeight="1" s="35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</row>
    <row r="125" ht="15.75" customHeight="1" s="3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</row>
    <row r="126" ht="15.75" customHeight="1" s="35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</row>
    <row r="127" ht="15.75" customHeight="1" s="35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</row>
    <row r="128" ht="15.75" customHeight="1" s="35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</row>
    <row r="129" ht="15.75" customHeight="1" s="35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</row>
    <row r="130" ht="15.75" customHeight="1" s="35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</row>
    <row r="131" ht="15.75" customHeight="1" s="35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</row>
    <row r="132" ht="15.75" customHeight="1" s="35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</row>
    <row r="133" ht="15.75" customHeight="1" s="35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</row>
    <row r="134" ht="15.75" customHeight="1" s="35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</row>
    <row r="135" ht="15.75" customHeight="1" s="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</row>
    <row r="136" ht="15.75" customHeight="1" s="35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</row>
    <row r="137" ht="15.75" customHeight="1" s="35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</row>
    <row r="138" ht="15.75" customHeight="1" s="35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</row>
    <row r="139" ht="15.75" customHeight="1" s="35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</row>
    <row r="140" ht="15.75" customHeight="1" s="35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</row>
    <row r="141" ht="15.75" customHeight="1" s="35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</row>
    <row r="142" ht="15.75" customHeight="1" s="35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</row>
    <row r="143" ht="15.75" customHeight="1" s="35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</row>
    <row r="144" ht="15.75" customHeight="1" s="35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</row>
    <row r="145" ht="15.75" customHeight="1" s="3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</row>
    <row r="146" ht="15.75" customHeight="1" s="35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</row>
    <row r="147" ht="15.75" customHeight="1" s="35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</row>
    <row r="148" ht="15.75" customHeight="1" s="35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</row>
    <row r="149" ht="15.75" customHeight="1" s="35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</row>
    <row r="150" ht="15.75" customHeight="1" s="35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</row>
    <row r="151" ht="15.75" customHeight="1" s="35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</row>
    <row r="152" ht="15.75" customHeight="1" s="35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</row>
    <row r="153" ht="15.75" customHeight="1" s="35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</row>
    <row r="154" ht="15.75" customHeight="1" s="35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</row>
    <row r="155" ht="15.75" customHeight="1" s="3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</row>
    <row r="156" ht="15.75" customHeight="1" s="35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</row>
    <row r="157" ht="15.75" customHeight="1" s="35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</row>
    <row r="158" ht="15.75" customHeight="1" s="35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</row>
    <row r="159" ht="15.75" customHeight="1" s="35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</row>
    <row r="160" ht="15.75" customHeight="1" s="35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</row>
    <row r="161" ht="15.75" customHeight="1" s="35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</row>
    <row r="162" ht="15.75" customHeight="1" s="35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</row>
    <row r="163" ht="15.75" customHeight="1" s="35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</row>
    <row r="164" ht="15.75" customHeight="1" s="35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</row>
    <row r="165" ht="15.75" customHeight="1" s="3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</row>
    <row r="166" ht="15.75" customHeight="1" s="35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</row>
    <row r="167" ht="15.75" customHeight="1" s="35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</row>
    <row r="168" ht="15.75" customHeight="1" s="35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</row>
    <row r="169" ht="15.75" customHeight="1" s="35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</row>
    <row r="170" ht="15.75" customHeight="1" s="35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</row>
    <row r="171" ht="15.75" customHeight="1" s="35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</row>
    <row r="172" ht="15.75" customHeight="1" s="35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</row>
    <row r="173" ht="15.75" customHeight="1" s="35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</row>
    <row r="174" ht="15.75" customHeight="1" s="35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</row>
    <row r="175" ht="15.75" customHeight="1" s="3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</row>
    <row r="176" ht="15.75" customHeight="1" s="35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</row>
    <row r="177" ht="15.75" customHeight="1" s="35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</row>
    <row r="178" ht="15.75" customHeight="1" s="35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</row>
    <row r="179" ht="15.75" customHeight="1" s="35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</row>
    <row r="180" ht="15.75" customHeight="1" s="35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</row>
    <row r="181" ht="15.75" customHeight="1" s="35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</row>
    <row r="182" ht="15.75" customHeight="1" s="35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</row>
    <row r="183" ht="15.75" customHeight="1" s="35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</row>
    <row r="184" ht="15.75" customHeight="1" s="35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</row>
    <row r="185" ht="15.75" customHeight="1" s="3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</row>
    <row r="186" ht="15.75" customHeight="1" s="35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</row>
    <row r="187" ht="15.75" customHeight="1" s="35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</row>
    <row r="188" ht="15.75" customHeight="1" s="35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</row>
    <row r="189" ht="15.75" customHeight="1" s="35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</row>
    <row r="190" ht="15.75" customHeight="1" s="35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</row>
    <row r="191" ht="15.75" customHeight="1" s="35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</row>
    <row r="192" ht="15.75" customHeight="1" s="35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</row>
    <row r="193" ht="15.75" customHeight="1" s="35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</row>
    <row r="194" ht="15.75" customHeight="1" s="35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</row>
    <row r="195" ht="15.75" customHeight="1" s="3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</row>
    <row r="196" ht="15.75" customHeight="1" s="35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</row>
    <row r="197" ht="15.75" customHeight="1" s="35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</row>
    <row r="198" ht="15.75" customHeight="1" s="35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</row>
    <row r="199" ht="15.75" customHeight="1" s="35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</row>
    <row r="200" ht="15.75" customHeight="1" s="35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</row>
    <row r="201" ht="15.75" customHeight="1" s="35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</row>
    <row r="202" ht="15.75" customHeight="1" s="35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</row>
    <row r="203" ht="15.75" customHeight="1" s="35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</row>
    <row r="204" ht="15.75" customHeight="1" s="35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</row>
    <row r="205" ht="15.75" customHeight="1" s="3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</row>
    <row r="206" ht="15.75" customHeight="1" s="35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</row>
    <row r="207" ht="15.75" customHeight="1" s="35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</row>
    <row r="208" ht="15.75" customHeight="1" s="35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</row>
    <row r="209" ht="15.75" customHeight="1" s="35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</row>
    <row r="210" ht="15.75" customHeight="1" s="35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</row>
    <row r="211" ht="15.75" customHeight="1" s="35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</row>
    <row r="212" ht="15.75" customHeight="1" s="35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</row>
    <row r="213" ht="15.75" customHeight="1" s="35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</row>
    <row r="214" ht="15.75" customHeight="1" s="35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</row>
    <row r="215" ht="15.75" customHeight="1" s="3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</row>
    <row r="216" ht="15.75" customHeight="1" s="35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</row>
    <row r="217" ht="15.75" customHeight="1" s="35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</row>
    <row r="218" ht="15.75" customHeight="1" s="35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</row>
    <row r="219" ht="15.75" customHeight="1" s="35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</row>
    <row r="220" ht="15.75" customHeight="1" s="35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</row>
    <row r="221" ht="15.75" customHeight="1" s="35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</row>
    <row r="222" ht="15.75" customHeight="1" s="35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</row>
    <row r="223" ht="15.75" customHeight="1" s="35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</row>
    <row r="224" ht="15.75" customHeight="1" s="35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</row>
    <row r="225" ht="15.75" customHeight="1" s="35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</row>
    <row r="226" ht="15.75" customHeight="1" s="35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</row>
    <row r="227" ht="15.75" customHeight="1" s="35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</row>
    <row r="228" ht="15.75" customHeight="1" s="35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</row>
    <row r="229" ht="15.75" customHeight="1" s="35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</row>
    <row r="230" ht="15.75" customHeight="1" s="35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</row>
    <row r="231" ht="15.75" customHeight="1" s="35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</row>
    <row r="232" ht="15.75" customHeight="1" s="35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</row>
    <row r="233" ht="15.75" customHeight="1" s="35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</row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  <row r="1001" ht="15.75" customHeight="1" s="35"/>
    <row r="1002" ht="15.75" customHeight="1" s="35"/>
  </sheetData>
  <mergeCells count="7">
    <mergeCell ref="A2:I2"/>
    <mergeCell ref="J15:J17"/>
    <mergeCell ref="J8:J9"/>
    <mergeCell ref="J20:J21"/>
    <mergeCell ref="J12:J13"/>
    <mergeCell ref="A1:I1"/>
    <mergeCell ref="J6:J7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35" min="1" max="1"/>
    <col width="32" customWidth="1" style="35" min="2" max="2"/>
    <col width="22" customWidth="1" style="35" min="3" max="3"/>
    <col width="38" customWidth="1" style="35" min="4" max="4"/>
    <col width="50" customWidth="1" style="35" min="5" max="5"/>
    <col width="8.710000000000001" customWidth="1" style="35" min="6" max="6"/>
  </cols>
  <sheetData>
    <row r="1" ht="19.5" customHeight="1" s="35">
      <c r="A1" s="1" t="inlineStr">
        <is>
          <t>Catholic Mass — near Burg Altpernstein</t>
        </is>
      </c>
    </row>
    <row r="2" ht="15" customHeight="1" s="35">
      <c r="A2" s="2" t="inlineStr">
        <is>
          <t>Saturday Vigil (11 Jul) or Sunday morning (12 Jul) options</t>
        </is>
      </c>
    </row>
    <row r="3">
      <c r="A3" s="18" t="n"/>
      <c r="B3" s="18" t="n"/>
      <c r="C3" s="18" t="n"/>
      <c r="D3" s="18" t="n"/>
      <c r="E3" s="18" t="n"/>
    </row>
    <row r="4" ht="15" customHeight="1" s="35">
      <c r="A4" s="4" t="inlineStr">
        <is>
          <t>Church</t>
        </is>
      </c>
      <c r="B4" s="4" t="inlineStr">
        <is>
          <t>Town</t>
        </is>
      </c>
      <c r="C4" s="4" t="inlineStr">
        <is>
          <t>From castle</t>
        </is>
      </c>
      <c r="D4" s="4" t="inlineStr">
        <is>
          <t>Mass times</t>
        </is>
      </c>
      <c r="E4" s="4" t="inlineStr">
        <is>
          <t>Phone / Notes</t>
        </is>
      </c>
    </row>
    <row r="5" ht="49.5" customHeight="1" s="35">
      <c r="A5" s="9" t="inlineStr">
        <is>
          <t>Stiftskirche Mariä Himmelfahrt</t>
        </is>
      </c>
      <c r="B5" s="9" t="inlineStr">
        <is>
          <t>Spital am Pyhrn</t>
        </is>
      </c>
      <c r="C5" s="9" t="inlineStr">
        <is>
          <t>~30 min south</t>
        </is>
      </c>
      <c r="D5" s="9" t="inlineStr">
        <is>
          <t>Sat Vigil 7 PM · Sun 9 AM (confirmed on Google)</t>
        </is>
      </c>
      <c r="E5" s="9" t="inlineStr">
        <is>
          <t>BEST CONFIRMED OPTION. Baroque "Dom am Pyhrn" with Altomonte frescoes. dioezese-linz.at/pfarre/4394</t>
        </is>
      </c>
    </row>
    <row r="6" ht="49.5" customHeight="1" s="35">
      <c r="A6" s="17" t="inlineStr">
        <is>
          <t>Pfarrkirche Kirchdorf an der Krems</t>
        </is>
      </c>
      <c r="B6" s="17" t="inlineStr">
        <is>
          <t>Kirchdorf an der Krems</t>
        </is>
      </c>
      <c r="C6" s="17" t="inlineStr">
        <is>
          <t>~5 min — closest</t>
        </is>
      </c>
      <c r="D6" s="17" t="inlineStr">
        <is>
          <t>Times not posted online</t>
        </is>
      </c>
      <c r="E6" s="17" t="inlineStr">
        <is>
          <t>Call +43 7582 62052 to confirm. 900-year-old parish — currently celebrating its 900th anniversary.</t>
        </is>
      </c>
    </row>
    <row r="7" ht="49.5" customHeight="1" s="35">
      <c r="A7" s="17" t="inlineStr">
        <is>
          <t>Pfarrkirche Mariä Himmelfahrt (Maria am Berg)</t>
        </is>
      </c>
      <c r="B7" s="17" t="inlineStr">
        <is>
          <t>Hallstatt</t>
        </is>
      </c>
      <c r="C7" s="17" t="inlineStr">
        <is>
          <t>~1.5 hrs each way</t>
        </is>
      </c>
      <c r="D7" s="17" t="inlineStr">
        <is>
          <t>Confirm with parish</t>
        </is>
      </c>
      <c r="E7" s="17" t="inlineStr">
        <is>
          <t>Combine with Hallstatt day trip on Sunday. 15th-century Gothic perched above the lake. +43 6134 8279 · kath.hallstatt.net</t>
        </is>
      </c>
    </row>
    <row r="8">
      <c r="A8" s="18" t="n"/>
      <c r="B8" s="18" t="n"/>
      <c r="C8" s="18" t="n"/>
      <c r="D8" s="18" t="n"/>
      <c r="E8" s="18" t="n"/>
    </row>
    <row r="9">
      <c r="A9" s="37" t="inlineStr">
        <is>
          <t>Catholic Mass — Rome (Auri apartment Vaticano · Aurelio)</t>
        </is>
      </c>
    </row>
    <row r="10">
      <c r="A10" s="26" t="inlineStr">
        <is>
          <t>Days 10–12 (Mon 20 – Wed 22 Jul) · weekdays · daily Mass at major basilicas</t>
        </is>
      </c>
    </row>
    <row r="11">
      <c r="A11" s="18" t="n"/>
      <c r="B11" s="18" t="n"/>
      <c r="C11" s="18" t="n"/>
      <c r="D11" s="18" t="n"/>
      <c r="E11" s="18" t="n"/>
    </row>
    <row r="12">
      <c r="A12" s="27" t="inlineStr">
        <is>
          <t>Church</t>
        </is>
      </c>
      <c r="B12" s="27" t="inlineStr">
        <is>
          <t>Where</t>
        </is>
      </c>
      <c r="C12" s="27" t="inlineStr">
        <is>
          <t>From Auri apartment</t>
        </is>
      </c>
      <c r="D12" s="27" t="inlineStr">
        <is>
          <t>Mass times</t>
        </is>
      </c>
      <c r="E12" s="27" t="inlineStr">
        <is>
          <t>Phone / Notes</t>
        </is>
      </c>
    </row>
    <row r="13" ht="49.5" customHeight="1" s="35">
      <c r="A13" s="17" t="inlineStr">
        <is>
          <t>St. Peter's Basilica</t>
        </is>
      </c>
      <c r="B13" s="17" t="inlineStr">
        <is>
          <t>Vatican City</t>
        </is>
      </c>
      <c r="C13" s="17" t="inlineStr">
        <is>
          <t>17 min walk</t>
        </is>
      </c>
      <c r="D13" s="17" t="inlineStr">
        <is>
          <t>Daily Mass 17:00 (Italian) · Sun 10:30 (Capitular Mass) · Wed 09:00 Papal Audience</t>
        </is>
      </c>
      <c r="E13" s="17" t="inlineStr">
        <is>
          <t>BEST for Day 12 (Vatican day) — attend after Sistine + basilica visit</t>
        </is>
      </c>
    </row>
    <row r="14" ht="49.5" customHeight="1" s="35">
      <c r="A14" s="17" t="inlineStr">
        <is>
          <t>Basilica of San Giovanni in Laterano</t>
        </is>
      </c>
      <c r="B14" s="17" t="inlineStr">
        <is>
          <t>Piazza San Giovanni · 00184 Roma</t>
        </is>
      </c>
      <c r="C14" s="17" t="inlineStr">
        <is>
          <t>~25 min via Cipro→San Giovanni (Line A)</t>
        </is>
      </c>
      <c r="D14" s="17" t="inlineStr">
        <is>
          <t>Daily Mass 18:00 (Italian) · Sun 10:30</t>
        </is>
      </c>
      <c r="E14" s="17" t="inlineStr">
        <is>
          <t>CATHEDRAL OF ROME — Pope's actual cathedral. Visit Day 11 evening or Day 12 early.</t>
        </is>
      </c>
    </row>
    <row r="15" ht="49.5" customHeight="1" s="35">
      <c r="A15" s="17" t="inlineStr">
        <is>
          <t>Basilica di Santa Maria Maggiore</t>
        </is>
      </c>
      <c r="B15" s="17" t="inlineStr">
        <is>
          <t>Piazza dell'Esquilino 34 · 00185 Roma</t>
        </is>
      </c>
      <c r="C15" s="17" t="inlineStr">
        <is>
          <t>~30 min via Cipro→Termini→walk</t>
        </is>
      </c>
      <c r="D15" s="17" t="inlineStr">
        <is>
          <t>Daily Mass 07:00, 08:00, 12:00, 18:00 · Sun 09:00, 10:30, 12:00</t>
        </is>
      </c>
      <c r="E15" s="17" t="inlineStr">
        <is>
          <t>4th major papal basilica · 5th-century mosaics</t>
        </is>
      </c>
    </row>
    <row r="16" ht="49.5" customHeight="1" s="35">
      <c r="A16" s="17" t="inlineStr">
        <is>
          <t>Basilica di San Paolo fuori le Mura</t>
        </is>
      </c>
      <c r="B16" s="17" t="inlineStr">
        <is>
          <t>Piazzale San Paolo 1 · 00146 Roma</t>
        </is>
      </c>
      <c r="C16" s="17" t="inlineStr">
        <is>
          <t>~35 min via metro Line B</t>
        </is>
      </c>
      <c r="D16" s="17" t="inlineStr">
        <is>
          <t>Daily Mass 07:30, 08:30, 17:00 · Sun 10:30</t>
        </is>
      </c>
      <c r="E16" s="17" t="inlineStr">
        <is>
          <t>St. Paul's tomb · 4th major papal basilica · further from hotel</t>
        </is>
      </c>
    </row>
    <row r="17" ht="49.5" customHeight="1" s="35">
      <c r="A17" s="17" t="inlineStr">
        <is>
          <t>Chiesa di Santa Maria del Rosario in Prati</t>
        </is>
      </c>
      <c r="B17" s="17" t="inlineStr">
        <is>
          <t>Via degli Scipioni 6 · 00192 Roma</t>
        </is>
      </c>
      <c r="C17" s="17" t="inlineStr">
        <is>
          <t>~12 min walk</t>
        </is>
      </c>
      <c r="D17" s="17" t="inlineStr">
        <is>
          <t>Confirm with parish · weekday Masses typically 07:00, 18:30</t>
        </is>
      </c>
      <c r="E17" s="17" t="inlineStr">
        <is>
          <t>Closest Catholic church to hotel · Italian neighbourhood parish</t>
        </is>
      </c>
    </row>
    <row r="18">
      <c r="A18" s="18" t="n"/>
      <c r="B18" s="18" t="n"/>
      <c r="C18" s="18" t="n"/>
      <c r="D18" s="18" t="n"/>
      <c r="E18" s="18" t="n"/>
    </row>
    <row r="19">
      <c r="A19" s="37" t="inlineStr">
        <is>
          <t>Catholic Mass — Florence (Sun 19 Jul)</t>
        </is>
      </c>
    </row>
    <row r="20">
      <c r="A20" s="26" t="inlineStr">
        <is>
          <t>Day 9 (Sun 19 Jul) · evening Mass after arrival from Mestre</t>
        </is>
      </c>
    </row>
    <row r="21" ht="15.75" customHeight="1" s="35">
      <c r="A21" s="18" t="n"/>
      <c r="B21" s="18" t="n"/>
      <c r="C21" s="18" t="n"/>
      <c r="D21" s="18" t="n"/>
      <c r="E21" s="18" t="n"/>
    </row>
    <row r="22" ht="15.75" customHeight="1" s="35">
      <c r="A22" s="27" t="inlineStr">
        <is>
          <t>Church</t>
        </is>
      </c>
      <c r="B22" s="27" t="inlineStr">
        <is>
          <t>Where</t>
        </is>
      </c>
      <c r="C22" s="27" t="inlineStr">
        <is>
          <t>From Garden Blue</t>
        </is>
      </c>
      <c r="D22" s="27" t="inlineStr">
        <is>
          <t>Mass times</t>
        </is>
      </c>
      <c r="E22" s="27" t="inlineStr">
        <is>
          <t>Phone / Notes</t>
        </is>
      </c>
    </row>
    <row r="23" ht="39.75" customHeight="1" s="35">
      <c r="A23" s="17" t="inlineStr">
        <is>
          <t>Basilica of Santa Croce</t>
        </is>
      </c>
      <c r="B23" s="17" t="inlineStr">
        <is>
          <t>Piazza di Santa Croce · Florence</t>
        </is>
      </c>
      <c r="C23" s="17" t="inlineStr">
        <is>
          <t>~12 min walk west</t>
        </is>
      </c>
      <c r="D23" s="17" t="inlineStr">
        <is>
          <t>Sun 11:00 + 17:30 (Italian)</t>
        </is>
      </c>
      <c r="E23" s="17" t="inlineStr">
        <is>
          <t>RECOMMENDED — central, less crowded than Duomo, families welcome</t>
        </is>
      </c>
    </row>
    <row r="24" ht="39.75" customHeight="1" s="35">
      <c r="A24" s="17" t="inlineStr">
        <is>
          <t>Cathedral (Duomo · Santa Maria del Fiore)</t>
        </is>
      </c>
      <c r="B24" s="17" t="inlineStr">
        <is>
          <t>Piazza del Duomo · Florence</t>
        </is>
      </c>
      <c r="C24" s="17" t="inlineStr">
        <is>
          <t>~12 min walk</t>
        </is>
      </c>
      <c r="D24" s="17" t="inlineStr">
        <is>
          <t>Sun 10:30 (Latin), 17:00, 18:00</t>
        </is>
      </c>
      <c r="E24" s="17" t="inlineStr">
        <is>
          <t>Iconic but very crowded — use as backup if Santa Croce too full</t>
        </is>
      </c>
    </row>
    <row r="25" ht="39.75" customHeight="1" s="35">
      <c r="A25" s="17" t="inlineStr">
        <is>
          <t>Basilica di Santa Maria Novella</t>
        </is>
      </c>
      <c r="B25" s="17" t="inlineStr">
        <is>
          <t>Piazza Santa Maria Novella · near train station</t>
        </is>
      </c>
      <c r="C25" s="17" t="inlineStr">
        <is>
          <t>~20 min walk</t>
        </is>
      </c>
      <c r="D25" s="17" t="inlineStr">
        <is>
          <t>Sun 10:30, 12:00, 18:00</t>
        </is>
      </c>
      <c r="E25" s="17" t="inlineStr">
        <is>
          <t>Convenient if dining downtown</t>
        </is>
      </c>
    </row>
    <row r="26" ht="15.75" customHeight="1" s="35">
      <c r="A26" s="18" t="n"/>
      <c r="B26" s="18" t="n"/>
      <c r="C26" s="18" t="n"/>
      <c r="D26" s="18" t="n"/>
      <c r="E26" s="18" t="n"/>
    </row>
    <row r="27" ht="15.75" customHeight="1" s="35">
      <c r="A27" s="37" t="inlineStr">
        <is>
          <t>Catholic Mass — Budapest (Thu 16 / Fri 17 Jul)</t>
        </is>
      </c>
    </row>
    <row r="28" ht="15.75" customHeight="1" s="35">
      <c r="A28" s="26" t="inlineStr">
        <is>
          <t>Day 6 (Thu 16 Jul evening) or Day 7 (Fri 17 Jul early) · weekday daily Mass options</t>
        </is>
      </c>
    </row>
    <row r="29" ht="15.75" customHeight="1" s="35">
      <c r="A29" s="18" t="n"/>
      <c r="B29" s="18" t="n"/>
      <c r="C29" s="18" t="n"/>
      <c r="D29" s="18" t="n"/>
      <c r="E29" s="18" t="n"/>
    </row>
    <row r="30" ht="15.75" customHeight="1" s="35">
      <c r="A30" s="27" t="inlineStr">
        <is>
          <t>Church</t>
        </is>
      </c>
      <c r="B30" s="27" t="inlineStr">
        <is>
          <t>Where</t>
        </is>
      </c>
      <c r="C30" s="27" t="inlineStr">
        <is>
          <t>From City Home</t>
        </is>
      </c>
      <c r="D30" s="27" t="inlineStr">
        <is>
          <t>Mass times</t>
        </is>
      </c>
      <c r="E30" s="27" t="inlineStr">
        <is>
          <t>Phone / Notes</t>
        </is>
      </c>
    </row>
    <row r="31" ht="49.5" customHeight="1" s="35">
      <c r="A31" s="17" t="inlineStr">
        <is>
          <t>St. Stephen's Basilica</t>
        </is>
      </c>
      <c r="B31" s="17" t="inlineStr">
        <is>
          <t>Szent István tér 1 · 1051 Budapest</t>
        </is>
      </c>
      <c r="C31" s="17" t="inlineStr">
        <is>
          <t>~15 min walk</t>
        </is>
      </c>
      <c r="D31" s="17" t="inlineStr">
        <is>
          <t>Daily 07:00, 08:00, 18:00 · Sat vigil 18:00 · Sun 08:30, 10:00, 12:00, 18:00</t>
        </is>
      </c>
      <c r="E31" s="17" t="inlineStr">
        <is>
          <t>Hungary's holiest church · best option for the trip</t>
        </is>
      </c>
    </row>
    <row r="32" ht="49.5" customHeight="1" s="35">
      <c r="A32" s="17" t="inlineStr">
        <is>
          <t>Matthias Church (Mátyás-templom)</t>
        </is>
      </c>
      <c r="B32" s="17" t="inlineStr">
        <is>
          <t>Szentháromság tér 2 · Castle Hill</t>
        </is>
      </c>
      <c r="C32" s="17" t="inlineStr">
        <is>
          <t>~25 min via Castle Hill</t>
        </is>
      </c>
      <c r="D32" s="17" t="inlineStr">
        <is>
          <t>Sun 07:00, 08:30, 10:00 (sung), 12:00, 18:00 · weekdays 07:00, 18:00</t>
        </is>
      </c>
      <c r="E32" s="17" t="inlineStr">
        <is>
          <t>Combine with Castle Hill visit · 700-year-old church</t>
        </is>
      </c>
    </row>
    <row r="33" ht="15.75" customHeight="1" s="35">
      <c r="A33" s="18" t="n"/>
      <c r="B33" s="18" t="n"/>
      <c r="C33" s="18" t="n"/>
      <c r="D33" s="18" t="n"/>
      <c r="E33" s="18" t="n"/>
    </row>
    <row r="34" ht="15.75" customHeight="1" s="35">
      <c r="A34" s="18" t="inlineStr">
        <is>
          <t>Catholic Mass — Geneva (Sun 26 Jul · Day 16)</t>
        </is>
      </c>
      <c r="B34" s="18" t="n"/>
      <c r="C34" s="18" t="n"/>
      <c r="D34" s="18" t="n"/>
      <c r="E34" s="18" t="n"/>
    </row>
    <row r="35" ht="15.75" customHeight="1" s="35">
      <c r="A35" s="18" t="inlineStr">
        <is>
          <t>Day trip from Moléson · Sunday Mass + Geneva sightseeing</t>
        </is>
      </c>
      <c r="B35" s="18" t="n"/>
      <c r="C35" s="18" t="n"/>
      <c r="D35" s="18" t="n"/>
      <c r="E35" s="18" t="n"/>
    </row>
    <row r="36" ht="15.75" customHeight="1" s="35">
      <c r="A36" s="18" t="n"/>
      <c r="B36" s="18" t="n"/>
      <c r="C36" s="18" t="n"/>
      <c r="D36" s="18" t="n"/>
      <c r="E36" s="18" t="n"/>
    </row>
    <row r="37" ht="15.75" customHeight="1" s="35">
      <c r="A37" s="18" t="inlineStr">
        <is>
          <t>Church</t>
        </is>
      </c>
      <c r="B37" s="18" t="inlineStr">
        <is>
          <t>Where</t>
        </is>
      </c>
      <c r="C37" s="18" t="inlineStr">
        <is>
          <t>From Moléson</t>
        </is>
      </c>
      <c r="D37" s="18" t="inlineStr">
        <is>
          <t>Mass times</t>
        </is>
      </c>
      <c r="E37" s="18" t="inlineStr">
        <is>
          <t>Phone / Notes</t>
        </is>
      </c>
    </row>
    <row r="38" ht="15.75" customHeight="1" s="35">
      <c r="A38" s="18" t="inlineStr">
        <is>
          <t>Basilique Notre-Dame de Genève</t>
        </is>
      </c>
      <c r="B38" s="18" t="inlineStr">
        <is>
          <t>Pl. de Cornavin, 1201 Geneva</t>
        </is>
      </c>
      <c r="C38" s="18" t="inlineStr">
        <is>
          <t>~80 km / 1h 15min drive</t>
        </is>
      </c>
      <c r="D38" s="18" t="inlineStr">
        <is>
          <t>Sun 7:30 · 9:00 · 10:15 · 11:30 · 17:00 · 19:00 (English) · 20:30</t>
        </is>
      </c>
      <c r="E38" s="18" t="inlineStr">
        <is>
          <t>RECOMMENDED — main Catholic church in Geneva, by Cornavin train station, easy parking. 10:15 best with kids (leave Moléson 8:30).</t>
        </is>
      </c>
    </row>
    <row r="39" ht="15.75" customHeight="1" s="35">
      <c r="A39" s="18" t="inlineStr">
        <is>
          <t>Église du Sacré-Cœur</t>
        </is>
      </c>
      <c r="B39" s="18" t="inlineStr">
        <is>
          <t>Plainpalais area, Geneva</t>
        </is>
      </c>
      <c r="C39" s="18" t="inlineStr">
        <is>
          <t>~80 km</t>
        </is>
      </c>
      <c r="D39" s="18" t="inlineStr">
        <is>
          <t>Sun 10:00, 11:30 (typically — confirm)</t>
        </is>
      </c>
      <c r="E39" s="18" t="inlineStr">
        <is>
          <t>Backup option · less central than Notre-Dame</t>
        </is>
      </c>
    </row>
    <row r="40" ht="15.75" customHeight="1" s="35">
      <c r="A40" s="18" t="n"/>
      <c r="B40" s="18" t="n"/>
      <c r="C40" s="18" t="n"/>
      <c r="D40" s="18" t="n"/>
      <c r="E40" s="18" t="n"/>
    </row>
    <row r="41" ht="15.75" customHeight="1" s="35">
      <c r="A41" s="18" t="n"/>
      <c r="B41" s="18" t="n"/>
      <c r="C41" s="18" t="n"/>
      <c r="D41" s="18" t="n"/>
      <c r="E41" s="18" t="n"/>
    </row>
    <row r="42" ht="15.75" customHeight="1" s="35">
      <c r="A42" s="18" t="n"/>
      <c r="B42" s="18" t="n"/>
      <c r="C42" s="18" t="n"/>
      <c r="D42" s="18" t="n"/>
      <c r="E42" s="18" t="n"/>
    </row>
    <row r="43" ht="15.75" customHeight="1" s="35">
      <c r="A43" s="18" t="n"/>
      <c r="B43" s="18" t="n"/>
      <c r="C43" s="18" t="n"/>
      <c r="D43" s="18" t="n"/>
      <c r="E43" s="18" t="n"/>
    </row>
    <row r="44" ht="15.75" customHeight="1" s="35">
      <c r="A44" s="18" t="n"/>
      <c r="B44" s="18" t="n"/>
      <c r="C44" s="18" t="n"/>
      <c r="D44" s="18" t="n"/>
      <c r="E44" s="18" t="n"/>
    </row>
    <row r="45" ht="15.75" customHeight="1" s="35">
      <c r="A45" s="18" t="n"/>
      <c r="B45" s="18" t="n"/>
      <c r="C45" s="18" t="n"/>
      <c r="D45" s="18" t="n"/>
      <c r="E45" s="18" t="n"/>
    </row>
    <row r="46" ht="15.75" customHeight="1" s="35">
      <c r="A46" s="18" t="n"/>
      <c r="B46" s="18" t="n"/>
      <c r="C46" s="18" t="n"/>
      <c r="D46" s="18" t="n"/>
      <c r="E46" s="18" t="n"/>
    </row>
    <row r="47" ht="15.75" customHeight="1" s="35">
      <c r="A47" s="18" t="n"/>
      <c r="B47" s="18" t="n"/>
      <c r="C47" s="18" t="n"/>
      <c r="D47" s="18" t="n"/>
      <c r="E47" s="18" t="n"/>
    </row>
    <row r="48" ht="15.75" customHeight="1" s="35">
      <c r="A48" s="18" t="n"/>
      <c r="B48" s="18" t="n"/>
      <c r="C48" s="18" t="n"/>
      <c r="D48" s="18" t="n"/>
      <c r="E48" s="18" t="n"/>
    </row>
    <row r="49" ht="15.75" customHeight="1" s="35">
      <c r="A49" s="18" t="n"/>
      <c r="B49" s="18" t="n"/>
      <c r="C49" s="18" t="n"/>
      <c r="D49" s="18" t="n"/>
      <c r="E49" s="18" t="n"/>
    </row>
    <row r="50" ht="15.75" customHeight="1" s="35">
      <c r="A50" s="18" t="n"/>
      <c r="B50" s="18" t="n"/>
      <c r="C50" s="18" t="n"/>
      <c r="D50" s="18" t="n"/>
      <c r="E50" s="18" t="n"/>
    </row>
    <row r="51" ht="15.75" customHeight="1" s="35">
      <c r="A51" s="18" t="n"/>
      <c r="B51" s="18" t="n"/>
      <c r="C51" s="18" t="n"/>
      <c r="D51" s="18" t="n"/>
      <c r="E51" s="18" t="n"/>
    </row>
    <row r="52" ht="15.75" customHeight="1" s="35">
      <c r="A52" s="18" t="n"/>
      <c r="B52" s="18" t="n"/>
      <c r="C52" s="18" t="n"/>
      <c r="D52" s="18" t="n"/>
      <c r="E52" s="18" t="n"/>
    </row>
    <row r="53" ht="15.75" customHeight="1" s="35">
      <c r="A53" s="18" t="n"/>
      <c r="B53" s="18" t="n"/>
      <c r="C53" s="18" t="n"/>
      <c r="D53" s="18" t="n"/>
      <c r="E53" s="18" t="n"/>
    </row>
    <row r="54" ht="15.75" customHeight="1" s="35">
      <c r="A54" s="18" t="n"/>
      <c r="B54" s="18" t="n"/>
      <c r="C54" s="18" t="n"/>
      <c r="D54" s="18" t="n"/>
      <c r="E54" s="18" t="n"/>
    </row>
    <row r="55" ht="15.75" customHeight="1" s="35">
      <c r="A55" s="18" t="n"/>
      <c r="B55" s="18" t="n"/>
      <c r="C55" s="18" t="n"/>
      <c r="D55" s="18" t="n"/>
      <c r="E55" s="18" t="n"/>
    </row>
    <row r="56" ht="15.75" customHeight="1" s="35">
      <c r="A56" s="18" t="n"/>
      <c r="B56" s="18" t="n"/>
      <c r="C56" s="18" t="n"/>
      <c r="D56" s="18" t="n"/>
      <c r="E56" s="18" t="n"/>
    </row>
    <row r="57" ht="15.75" customHeight="1" s="35">
      <c r="A57" s="18" t="n"/>
      <c r="B57" s="18" t="n"/>
      <c r="C57" s="18" t="n"/>
      <c r="D57" s="18" t="n"/>
      <c r="E57" s="18" t="n"/>
    </row>
    <row r="58" ht="15.75" customHeight="1" s="35">
      <c r="A58" s="18" t="n"/>
      <c r="B58" s="18" t="n"/>
      <c r="C58" s="18" t="n"/>
      <c r="D58" s="18" t="n"/>
      <c r="E58" s="18" t="n"/>
    </row>
    <row r="59" ht="15.75" customHeight="1" s="35">
      <c r="A59" s="18" t="n"/>
      <c r="B59" s="18" t="n"/>
      <c r="C59" s="18" t="n"/>
      <c r="D59" s="18" t="n"/>
      <c r="E59" s="18" t="n"/>
    </row>
    <row r="60" ht="15.75" customHeight="1" s="35">
      <c r="A60" s="18" t="n"/>
      <c r="B60" s="18" t="n"/>
      <c r="C60" s="18" t="n"/>
      <c r="D60" s="18" t="n"/>
      <c r="E60" s="18" t="n"/>
    </row>
    <row r="61" ht="15.75" customHeight="1" s="35">
      <c r="A61" s="18" t="n"/>
      <c r="B61" s="18" t="n"/>
      <c r="C61" s="18" t="n"/>
      <c r="D61" s="18" t="n"/>
      <c r="E61" s="18" t="n"/>
    </row>
    <row r="62" ht="15.75" customHeight="1" s="35">
      <c r="A62" s="18" t="n"/>
      <c r="B62" s="18" t="n"/>
      <c r="C62" s="18" t="n"/>
      <c r="D62" s="18" t="n"/>
      <c r="E62" s="18" t="n"/>
    </row>
    <row r="63" ht="15.75" customHeight="1" s="35">
      <c r="A63" s="18" t="n"/>
      <c r="B63" s="18" t="n"/>
      <c r="C63" s="18" t="n"/>
      <c r="D63" s="18" t="n"/>
      <c r="E63" s="18" t="n"/>
    </row>
    <row r="64" ht="15.75" customHeight="1" s="35">
      <c r="A64" s="18" t="n"/>
      <c r="B64" s="18" t="n"/>
      <c r="C64" s="18" t="n"/>
      <c r="D64" s="18" t="n"/>
      <c r="E64" s="18" t="n"/>
    </row>
    <row r="65" ht="15.75" customHeight="1" s="35">
      <c r="A65" s="18" t="n"/>
      <c r="B65" s="18" t="n"/>
      <c r="C65" s="18" t="n"/>
      <c r="D65" s="18" t="n"/>
      <c r="E65" s="18" t="n"/>
    </row>
    <row r="66" ht="15.75" customHeight="1" s="35">
      <c r="A66" s="18" t="n"/>
      <c r="B66" s="18" t="n"/>
      <c r="C66" s="18" t="n"/>
      <c r="D66" s="18" t="n"/>
      <c r="E66" s="18" t="n"/>
    </row>
    <row r="67" ht="15.75" customHeight="1" s="35">
      <c r="A67" s="18" t="n"/>
      <c r="B67" s="18" t="n"/>
      <c r="C67" s="18" t="n"/>
      <c r="D67" s="18" t="n"/>
      <c r="E67" s="18" t="n"/>
    </row>
    <row r="68" ht="15.75" customHeight="1" s="35">
      <c r="A68" s="18" t="n"/>
      <c r="B68" s="18" t="n"/>
      <c r="C68" s="18" t="n"/>
      <c r="D68" s="18" t="n"/>
      <c r="E68" s="18" t="n"/>
    </row>
    <row r="69" ht="15.75" customHeight="1" s="35">
      <c r="A69" s="18" t="n"/>
      <c r="B69" s="18" t="n"/>
      <c r="C69" s="18" t="n"/>
      <c r="D69" s="18" t="n"/>
      <c r="E69" s="18" t="n"/>
    </row>
    <row r="70" ht="15.75" customHeight="1" s="35">
      <c r="A70" s="18" t="n"/>
      <c r="B70" s="18" t="n"/>
      <c r="C70" s="18" t="n"/>
      <c r="D70" s="18" t="n"/>
      <c r="E70" s="18" t="n"/>
    </row>
    <row r="71" ht="15.75" customHeight="1" s="35">
      <c r="A71" s="18" t="n"/>
      <c r="B71" s="18" t="n"/>
      <c r="C71" s="18" t="n"/>
      <c r="D71" s="18" t="n"/>
      <c r="E71" s="18" t="n"/>
    </row>
    <row r="72" ht="15.75" customHeight="1" s="35">
      <c r="A72" s="18" t="n"/>
      <c r="B72" s="18" t="n"/>
      <c r="C72" s="18" t="n"/>
      <c r="D72" s="18" t="n"/>
      <c r="E72" s="18" t="n"/>
    </row>
    <row r="73" ht="15.75" customHeight="1" s="35">
      <c r="A73" s="18" t="n"/>
      <c r="B73" s="18" t="n"/>
      <c r="C73" s="18" t="n"/>
      <c r="D73" s="18" t="n"/>
      <c r="E73" s="18" t="n"/>
    </row>
    <row r="74" ht="15.75" customHeight="1" s="35">
      <c r="A74" s="18" t="n"/>
      <c r="B74" s="18" t="n"/>
      <c r="C74" s="18" t="n"/>
      <c r="D74" s="18" t="n"/>
      <c r="E74" s="18" t="n"/>
    </row>
    <row r="75" ht="15.75" customHeight="1" s="35">
      <c r="A75" s="18" t="n"/>
      <c r="B75" s="18" t="n"/>
      <c r="C75" s="18" t="n"/>
      <c r="D75" s="18" t="n"/>
      <c r="E75" s="18" t="n"/>
    </row>
    <row r="76" ht="15.75" customHeight="1" s="35">
      <c r="A76" s="18" t="n"/>
      <c r="B76" s="18" t="n"/>
      <c r="C76" s="18" t="n"/>
      <c r="D76" s="18" t="n"/>
      <c r="E76" s="18" t="n"/>
    </row>
    <row r="77" ht="15.75" customHeight="1" s="35">
      <c r="A77" s="18" t="n"/>
      <c r="B77" s="18" t="n"/>
      <c r="C77" s="18" t="n"/>
      <c r="D77" s="18" t="n"/>
      <c r="E77" s="18" t="n"/>
    </row>
    <row r="78" ht="15.75" customHeight="1" s="35">
      <c r="A78" s="18" t="n"/>
      <c r="B78" s="18" t="n"/>
      <c r="C78" s="18" t="n"/>
      <c r="D78" s="18" t="n"/>
      <c r="E78" s="18" t="n"/>
    </row>
    <row r="79" ht="15.75" customHeight="1" s="35">
      <c r="A79" s="18" t="n"/>
      <c r="B79" s="18" t="n"/>
      <c r="C79" s="18" t="n"/>
      <c r="D79" s="18" t="n"/>
      <c r="E79" s="18" t="n"/>
    </row>
    <row r="80" ht="15.75" customHeight="1" s="35">
      <c r="A80" s="18" t="n"/>
      <c r="B80" s="18" t="n"/>
      <c r="C80" s="18" t="n"/>
      <c r="D80" s="18" t="n"/>
      <c r="E80" s="18" t="n"/>
    </row>
    <row r="81" ht="15.75" customHeight="1" s="35">
      <c r="A81" s="18" t="n"/>
      <c r="B81" s="18" t="n"/>
      <c r="C81" s="18" t="n"/>
      <c r="D81" s="18" t="n"/>
      <c r="E81" s="18" t="n"/>
    </row>
    <row r="82" ht="15.75" customHeight="1" s="35">
      <c r="A82" s="18" t="n"/>
      <c r="B82" s="18" t="n"/>
      <c r="C82" s="18" t="n"/>
      <c r="D82" s="18" t="n"/>
      <c r="E82" s="18" t="n"/>
    </row>
    <row r="83" ht="15.75" customHeight="1" s="35">
      <c r="A83" s="18" t="n"/>
      <c r="B83" s="18" t="n"/>
      <c r="C83" s="18" t="n"/>
      <c r="D83" s="18" t="n"/>
      <c r="E83" s="18" t="n"/>
    </row>
    <row r="84" ht="15.75" customHeight="1" s="35">
      <c r="A84" s="18" t="n"/>
      <c r="B84" s="18" t="n"/>
      <c r="C84" s="18" t="n"/>
      <c r="D84" s="18" t="n"/>
      <c r="E84" s="18" t="n"/>
    </row>
    <row r="85" ht="15.75" customHeight="1" s="35">
      <c r="A85" s="18" t="n"/>
      <c r="B85" s="18" t="n"/>
      <c r="C85" s="18" t="n"/>
      <c r="D85" s="18" t="n"/>
      <c r="E85" s="18" t="n"/>
    </row>
    <row r="86" ht="15.75" customHeight="1" s="35">
      <c r="A86" s="18" t="n"/>
      <c r="B86" s="18" t="n"/>
      <c r="C86" s="18" t="n"/>
      <c r="D86" s="18" t="n"/>
      <c r="E86" s="18" t="n"/>
    </row>
    <row r="87" ht="15.75" customHeight="1" s="35">
      <c r="A87" s="18" t="n"/>
      <c r="B87" s="18" t="n"/>
      <c r="C87" s="18" t="n"/>
      <c r="D87" s="18" t="n"/>
      <c r="E87" s="18" t="n"/>
    </row>
    <row r="88" ht="15.75" customHeight="1" s="35">
      <c r="A88" s="18" t="n"/>
      <c r="B88" s="18" t="n"/>
      <c r="C88" s="18" t="n"/>
      <c r="D88" s="18" t="n"/>
      <c r="E88" s="18" t="n"/>
    </row>
    <row r="89" ht="15.75" customHeight="1" s="35">
      <c r="A89" s="18" t="n"/>
      <c r="B89" s="18" t="n"/>
      <c r="C89" s="18" t="n"/>
      <c r="D89" s="18" t="n"/>
      <c r="E89" s="18" t="n"/>
    </row>
    <row r="90" ht="15.75" customHeight="1" s="35">
      <c r="A90" s="18" t="n"/>
      <c r="B90" s="18" t="n"/>
      <c r="C90" s="18" t="n"/>
      <c r="D90" s="18" t="n"/>
      <c r="E90" s="18" t="n"/>
    </row>
    <row r="91" ht="15.75" customHeight="1" s="35">
      <c r="A91" s="18" t="n"/>
      <c r="B91" s="18" t="n"/>
      <c r="C91" s="18" t="n"/>
      <c r="D91" s="18" t="n"/>
      <c r="E91" s="18" t="n"/>
    </row>
    <row r="92" ht="15.75" customHeight="1" s="35">
      <c r="A92" s="18" t="n"/>
      <c r="B92" s="18" t="n"/>
      <c r="C92" s="18" t="n"/>
      <c r="D92" s="18" t="n"/>
      <c r="E92" s="18" t="n"/>
    </row>
    <row r="93" ht="15.75" customHeight="1" s="35">
      <c r="A93" s="18" t="n"/>
      <c r="B93" s="18" t="n"/>
      <c r="C93" s="18" t="n"/>
      <c r="D93" s="18" t="n"/>
      <c r="E93" s="18" t="n"/>
    </row>
    <row r="94" ht="15.75" customHeight="1" s="35">
      <c r="A94" s="18" t="n"/>
      <c r="B94" s="18" t="n"/>
      <c r="C94" s="18" t="n"/>
      <c r="D94" s="18" t="n"/>
      <c r="E94" s="18" t="n"/>
    </row>
    <row r="95" ht="15.75" customHeight="1" s="35">
      <c r="A95" s="18" t="n"/>
      <c r="B95" s="18" t="n"/>
      <c r="C95" s="18" t="n"/>
      <c r="D95" s="18" t="n"/>
      <c r="E95" s="18" t="n"/>
    </row>
    <row r="96" ht="15.75" customHeight="1" s="35">
      <c r="A96" s="18" t="n"/>
      <c r="B96" s="18" t="n"/>
      <c r="C96" s="18" t="n"/>
      <c r="D96" s="18" t="n"/>
      <c r="E96" s="18" t="n"/>
    </row>
    <row r="97" ht="15.75" customHeight="1" s="35">
      <c r="A97" s="18" t="n"/>
      <c r="B97" s="18" t="n"/>
      <c r="C97" s="18" t="n"/>
      <c r="D97" s="18" t="n"/>
      <c r="E97" s="18" t="n"/>
    </row>
    <row r="98" ht="15.75" customHeight="1" s="35">
      <c r="A98" s="18" t="n"/>
      <c r="B98" s="18" t="n"/>
      <c r="C98" s="18" t="n"/>
      <c r="D98" s="18" t="n"/>
      <c r="E98" s="18" t="n"/>
    </row>
    <row r="99" ht="15.75" customHeight="1" s="35">
      <c r="A99" s="18" t="n"/>
      <c r="B99" s="18" t="n"/>
      <c r="C99" s="18" t="n"/>
      <c r="D99" s="18" t="n"/>
      <c r="E99" s="18" t="n"/>
    </row>
    <row r="100" ht="15.75" customHeight="1" s="35">
      <c r="A100" s="18" t="n"/>
      <c r="B100" s="18" t="n"/>
      <c r="C100" s="18" t="n"/>
      <c r="D100" s="18" t="n"/>
      <c r="E100" s="18" t="n"/>
    </row>
    <row r="101" ht="15.75" customHeight="1" s="35">
      <c r="A101" s="18" t="n"/>
      <c r="B101" s="18" t="n"/>
      <c r="C101" s="18" t="n"/>
      <c r="D101" s="18" t="n"/>
      <c r="E101" s="18" t="n"/>
    </row>
    <row r="102" ht="15.75" customHeight="1" s="35">
      <c r="A102" s="18" t="n"/>
      <c r="B102" s="18" t="n"/>
      <c r="C102" s="18" t="n"/>
      <c r="D102" s="18" t="n"/>
      <c r="E102" s="18" t="n"/>
    </row>
    <row r="103" ht="15.75" customHeight="1" s="35">
      <c r="A103" s="18" t="n"/>
      <c r="B103" s="18" t="n"/>
      <c r="C103" s="18" t="n"/>
      <c r="D103" s="18" t="n"/>
      <c r="E103" s="18" t="n"/>
    </row>
    <row r="104" ht="15.75" customHeight="1" s="35">
      <c r="A104" s="18" t="n"/>
      <c r="B104" s="18" t="n"/>
      <c r="C104" s="18" t="n"/>
      <c r="D104" s="18" t="n"/>
      <c r="E104" s="18" t="n"/>
    </row>
    <row r="105" ht="15.75" customHeight="1" s="35">
      <c r="A105" s="18" t="n"/>
      <c r="B105" s="18" t="n"/>
      <c r="C105" s="18" t="n"/>
      <c r="D105" s="18" t="n"/>
      <c r="E105" s="18" t="n"/>
    </row>
    <row r="106" ht="15.75" customHeight="1" s="35">
      <c r="A106" s="18" t="n"/>
      <c r="B106" s="18" t="n"/>
      <c r="C106" s="18" t="n"/>
      <c r="D106" s="18" t="n"/>
      <c r="E106" s="18" t="n"/>
    </row>
    <row r="107" ht="15.75" customHeight="1" s="35">
      <c r="A107" s="18" t="n"/>
      <c r="B107" s="18" t="n"/>
      <c r="C107" s="18" t="n"/>
      <c r="D107" s="18" t="n"/>
      <c r="E107" s="18" t="n"/>
    </row>
    <row r="108" ht="15.75" customHeight="1" s="35">
      <c r="A108" s="18" t="n"/>
      <c r="B108" s="18" t="n"/>
      <c r="C108" s="18" t="n"/>
      <c r="D108" s="18" t="n"/>
      <c r="E108" s="18" t="n"/>
    </row>
    <row r="109" ht="15.75" customHeight="1" s="35">
      <c r="A109" s="18" t="n"/>
      <c r="B109" s="18" t="n"/>
      <c r="C109" s="18" t="n"/>
      <c r="D109" s="18" t="n"/>
      <c r="E109" s="18" t="n"/>
    </row>
    <row r="110" ht="15.75" customHeight="1" s="35">
      <c r="A110" s="18" t="n"/>
      <c r="B110" s="18" t="n"/>
      <c r="C110" s="18" t="n"/>
      <c r="D110" s="18" t="n"/>
      <c r="E110" s="18" t="n"/>
    </row>
    <row r="111" ht="15.75" customHeight="1" s="35">
      <c r="A111" s="18" t="n"/>
      <c r="B111" s="18" t="n"/>
      <c r="C111" s="18" t="n"/>
      <c r="D111" s="18" t="n"/>
      <c r="E111" s="18" t="n"/>
    </row>
    <row r="112" ht="15.75" customHeight="1" s="35">
      <c r="A112" s="18" t="n"/>
      <c r="B112" s="18" t="n"/>
      <c r="C112" s="18" t="n"/>
      <c r="D112" s="18" t="n"/>
      <c r="E112" s="18" t="n"/>
    </row>
    <row r="113" ht="15.75" customHeight="1" s="35">
      <c r="A113" s="18" t="n"/>
      <c r="B113" s="18" t="n"/>
      <c r="C113" s="18" t="n"/>
      <c r="D113" s="18" t="n"/>
      <c r="E113" s="18" t="n"/>
    </row>
    <row r="114" ht="15.75" customHeight="1" s="35">
      <c r="A114" s="18" t="n"/>
      <c r="B114" s="18" t="n"/>
      <c r="C114" s="18" t="n"/>
      <c r="D114" s="18" t="n"/>
      <c r="E114" s="18" t="n"/>
    </row>
    <row r="115" ht="15.75" customHeight="1" s="35">
      <c r="A115" s="18" t="n"/>
      <c r="B115" s="18" t="n"/>
      <c r="C115" s="18" t="n"/>
      <c r="D115" s="18" t="n"/>
      <c r="E115" s="18" t="n"/>
    </row>
    <row r="116" ht="15.75" customHeight="1" s="35">
      <c r="A116" s="18" t="n"/>
      <c r="B116" s="18" t="n"/>
      <c r="C116" s="18" t="n"/>
      <c r="D116" s="18" t="n"/>
      <c r="E116" s="18" t="n"/>
    </row>
    <row r="117" ht="15.75" customHeight="1" s="35">
      <c r="A117" s="18" t="n"/>
      <c r="B117" s="18" t="n"/>
      <c r="C117" s="18" t="n"/>
      <c r="D117" s="18" t="n"/>
      <c r="E117" s="18" t="n"/>
    </row>
    <row r="118" ht="15.75" customHeight="1" s="35">
      <c r="A118" s="18" t="n"/>
      <c r="B118" s="18" t="n"/>
      <c r="C118" s="18" t="n"/>
      <c r="D118" s="18" t="n"/>
      <c r="E118" s="18" t="n"/>
    </row>
    <row r="119" ht="15.75" customHeight="1" s="35">
      <c r="A119" s="18" t="n"/>
      <c r="B119" s="18" t="n"/>
      <c r="C119" s="18" t="n"/>
      <c r="D119" s="18" t="n"/>
      <c r="E119" s="18" t="n"/>
    </row>
    <row r="120" ht="15.75" customHeight="1" s="35">
      <c r="A120" s="18" t="n"/>
      <c r="B120" s="18" t="n"/>
      <c r="C120" s="18" t="n"/>
      <c r="D120" s="18" t="n"/>
      <c r="E120" s="18" t="n"/>
    </row>
    <row r="121" ht="15.75" customHeight="1" s="35">
      <c r="A121" s="18" t="n"/>
      <c r="B121" s="18" t="n"/>
      <c r="C121" s="18" t="n"/>
      <c r="D121" s="18" t="n"/>
      <c r="E121" s="18" t="n"/>
    </row>
    <row r="122" ht="15.75" customHeight="1" s="35">
      <c r="A122" s="18" t="n"/>
      <c r="B122" s="18" t="n"/>
      <c r="C122" s="18" t="n"/>
      <c r="D122" s="18" t="n"/>
      <c r="E122" s="18" t="n"/>
    </row>
    <row r="123" ht="15.75" customHeight="1" s="35">
      <c r="A123" s="18" t="n"/>
      <c r="B123" s="18" t="n"/>
      <c r="C123" s="18" t="n"/>
      <c r="D123" s="18" t="n"/>
      <c r="E123" s="18" t="n"/>
    </row>
    <row r="124" ht="15.75" customHeight="1" s="35">
      <c r="A124" s="18" t="n"/>
      <c r="B124" s="18" t="n"/>
      <c r="C124" s="18" t="n"/>
      <c r="D124" s="18" t="n"/>
      <c r="E124" s="18" t="n"/>
    </row>
    <row r="125" ht="15.75" customHeight="1" s="35">
      <c r="A125" s="18" t="n"/>
      <c r="B125" s="18" t="n"/>
      <c r="C125" s="18" t="n"/>
      <c r="D125" s="18" t="n"/>
      <c r="E125" s="18" t="n"/>
    </row>
    <row r="126" ht="15.75" customHeight="1" s="35">
      <c r="A126" s="18" t="n"/>
      <c r="B126" s="18" t="n"/>
      <c r="C126" s="18" t="n"/>
      <c r="D126" s="18" t="n"/>
      <c r="E126" s="18" t="n"/>
    </row>
    <row r="127" ht="15.75" customHeight="1" s="35">
      <c r="A127" s="18" t="n"/>
      <c r="B127" s="18" t="n"/>
      <c r="C127" s="18" t="n"/>
      <c r="D127" s="18" t="n"/>
      <c r="E127" s="18" t="n"/>
    </row>
    <row r="128" ht="15.75" customHeight="1" s="35">
      <c r="A128" s="18" t="n"/>
      <c r="B128" s="18" t="n"/>
      <c r="C128" s="18" t="n"/>
      <c r="D128" s="18" t="n"/>
      <c r="E128" s="18" t="n"/>
    </row>
    <row r="129" ht="15.75" customHeight="1" s="35">
      <c r="A129" s="18" t="n"/>
      <c r="B129" s="18" t="n"/>
      <c r="C129" s="18" t="n"/>
      <c r="D129" s="18" t="n"/>
      <c r="E129" s="18" t="n"/>
    </row>
    <row r="130" ht="15.75" customHeight="1" s="35">
      <c r="A130" s="18" t="n"/>
      <c r="B130" s="18" t="n"/>
      <c r="C130" s="18" t="n"/>
      <c r="D130" s="18" t="n"/>
      <c r="E130" s="18" t="n"/>
    </row>
    <row r="131" ht="15.75" customHeight="1" s="35">
      <c r="A131" s="18" t="n"/>
      <c r="B131" s="18" t="n"/>
      <c r="C131" s="18" t="n"/>
      <c r="D131" s="18" t="n"/>
      <c r="E131" s="18" t="n"/>
    </row>
    <row r="132" ht="15.75" customHeight="1" s="35">
      <c r="A132" s="18" t="n"/>
      <c r="B132" s="18" t="n"/>
      <c r="C132" s="18" t="n"/>
      <c r="D132" s="18" t="n"/>
      <c r="E132" s="18" t="n"/>
    </row>
    <row r="133" ht="15.75" customHeight="1" s="35">
      <c r="A133" s="18" t="n"/>
      <c r="B133" s="18" t="n"/>
      <c r="C133" s="18" t="n"/>
      <c r="D133" s="18" t="n"/>
      <c r="E133" s="18" t="n"/>
    </row>
    <row r="134" ht="15.75" customHeight="1" s="35">
      <c r="A134" s="18" t="n"/>
      <c r="B134" s="18" t="n"/>
      <c r="C134" s="18" t="n"/>
      <c r="D134" s="18" t="n"/>
      <c r="E134" s="18" t="n"/>
    </row>
    <row r="135" ht="15.75" customHeight="1" s="35">
      <c r="A135" s="18" t="n"/>
      <c r="B135" s="18" t="n"/>
      <c r="C135" s="18" t="n"/>
      <c r="D135" s="18" t="n"/>
      <c r="E135" s="18" t="n"/>
    </row>
    <row r="136" ht="15.75" customHeight="1" s="35">
      <c r="A136" s="18" t="n"/>
      <c r="B136" s="18" t="n"/>
      <c r="C136" s="18" t="n"/>
      <c r="D136" s="18" t="n"/>
      <c r="E136" s="18" t="n"/>
    </row>
    <row r="137" ht="15.75" customHeight="1" s="35">
      <c r="A137" s="18" t="n"/>
      <c r="B137" s="18" t="n"/>
      <c r="C137" s="18" t="n"/>
      <c r="D137" s="18" t="n"/>
      <c r="E137" s="18" t="n"/>
    </row>
    <row r="138" ht="15.75" customHeight="1" s="35">
      <c r="A138" s="18" t="n"/>
      <c r="B138" s="18" t="n"/>
      <c r="C138" s="18" t="n"/>
      <c r="D138" s="18" t="n"/>
      <c r="E138" s="18" t="n"/>
    </row>
    <row r="139" ht="15.75" customHeight="1" s="35">
      <c r="A139" s="18" t="n"/>
      <c r="B139" s="18" t="n"/>
      <c r="C139" s="18" t="n"/>
      <c r="D139" s="18" t="n"/>
      <c r="E139" s="18" t="n"/>
    </row>
    <row r="140" ht="15.75" customHeight="1" s="35">
      <c r="A140" s="18" t="n"/>
      <c r="B140" s="18" t="n"/>
      <c r="C140" s="18" t="n"/>
      <c r="D140" s="18" t="n"/>
      <c r="E140" s="18" t="n"/>
    </row>
    <row r="141" ht="15.75" customHeight="1" s="35">
      <c r="A141" s="18" t="n"/>
      <c r="B141" s="18" t="n"/>
      <c r="C141" s="18" t="n"/>
      <c r="D141" s="18" t="n"/>
      <c r="E141" s="18" t="n"/>
    </row>
    <row r="142" ht="15.75" customHeight="1" s="35">
      <c r="A142" s="18" t="n"/>
      <c r="B142" s="18" t="n"/>
      <c r="C142" s="18" t="n"/>
      <c r="D142" s="18" t="n"/>
      <c r="E142" s="18" t="n"/>
    </row>
    <row r="143" ht="15.75" customHeight="1" s="35">
      <c r="A143" s="18" t="n"/>
      <c r="B143" s="18" t="n"/>
      <c r="C143" s="18" t="n"/>
      <c r="D143" s="18" t="n"/>
      <c r="E143" s="18" t="n"/>
    </row>
    <row r="144" ht="15.75" customHeight="1" s="35">
      <c r="A144" s="18" t="n"/>
      <c r="B144" s="18" t="n"/>
      <c r="C144" s="18" t="n"/>
      <c r="D144" s="18" t="n"/>
      <c r="E144" s="18" t="n"/>
    </row>
    <row r="145" ht="15.75" customHeight="1" s="35">
      <c r="A145" s="18" t="n"/>
      <c r="B145" s="18" t="n"/>
      <c r="C145" s="18" t="n"/>
      <c r="D145" s="18" t="n"/>
      <c r="E145" s="18" t="n"/>
    </row>
    <row r="146" ht="15.75" customHeight="1" s="35">
      <c r="A146" s="18" t="n"/>
      <c r="B146" s="18" t="n"/>
      <c r="C146" s="18" t="n"/>
      <c r="D146" s="18" t="n"/>
      <c r="E146" s="18" t="n"/>
    </row>
    <row r="147" ht="15.75" customHeight="1" s="35">
      <c r="A147" s="18" t="n"/>
      <c r="B147" s="18" t="n"/>
      <c r="C147" s="18" t="n"/>
      <c r="D147" s="18" t="n"/>
      <c r="E147" s="18" t="n"/>
    </row>
    <row r="148" ht="15.75" customHeight="1" s="35">
      <c r="A148" s="18" t="n"/>
      <c r="B148" s="18" t="n"/>
      <c r="C148" s="18" t="n"/>
      <c r="D148" s="18" t="n"/>
      <c r="E148" s="18" t="n"/>
    </row>
    <row r="149" ht="15.75" customHeight="1" s="35">
      <c r="A149" s="18" t="n"/>
      <c r="B149" s="18" t="n"/>
      <c r="C149" s="18" t="n"/>
      <c r="D149" s="18" t="n"/>
      <c r="E149" s="18" t="n"/>
    </row>
    <row r="150" ht="15.75" customHeight="1" s="35">
      <c r="A150" s="18" t="n"/>
      <c r="B150" s="18" t="n"/>
      <c r="C150" s="18" t="n"/>
      <c r="D150" s="18" t="n"/>
      <c r="E150" s="18" t="n"/>
    </row>
    <row r="151" ht="15.75" customHeight="1" s="35">
      <c r="A151" s="18" t="n"/>
      <c r="B151" s="18" t="n"/>
      <c r="C151" s="18" t="n"/>
      <c r="D151" s="18" t="n"/>
      <c r="E151" s="18" t="n"/>
    </row>
    <row r="152" ht="15.75" customHeight="1" s="35">
      <c r="A152" s="18" t="n"/>
      <c r="B152" s="18" t="n"/>
      <c r="C152" s="18" t="n"/>
      <c r="D152" s="18" t="n"/>
      <c r="E152" s="18" t="n"/>
    </row>
    <row r="153" ht="15.75" customHeight="1" s="35">
      <c r="A153" s="18" t="n"/>
      <c r="B153" s="18" t="n"/>
      <c r="C153" s="18" t="n"/>
      <c r="D153" s="18" t="n"/>
      <c r="E153" s="18" t="n"/>
    </row>
    <row r="154" ht="15.75" customHeight="1" s="35">
      <c r="A154" s="18" t="n"/>
      <c r="B154" s="18" t="n"/>
      <c r="C154" s="18" t="n"/>
      <c r="D154" s="18" t="n"/>
      <c r="E154" s="18" t="n"/>
    </row>
    <row r="155" ht="15.75" customHeight="1" s="35">
      <c r="A155" s="18" t="n"/>
      <c r="B155" s="18" t="n"/>
      <c r="C155" s="18" t="n"/>
      <c r="D155" s="18" t="n"/>
      <c r="E155" s="18" t="n"/>
    </row>
    <row r="156" ht="15.75" customHeight="1" s="35">
      <c r="A156" s="18" t="n"/>
      <c r="B156" s="18" t="n"/>
      <c r="C156" s="18" t="n"/>
      <c r="D156" s="18" t="n"/>
      <c r="E156" s="18" t="n"/>
    </row>
    <row r="157" ht="15.75" customHeight="1" s="35">
      <c r="A157" s="18" t="n"/>
      <c r="B157" s="18" t="n"/>
      <c r="C157" s="18" t="n"/>
      <c r="D157" s="18" t="n"/>
      <c r="E157" s="18" t="n"/>
    </row>
    <row r="158" ht="15.75" customHeight="1" s="35">
      <c r="A158" s="18" t="n"/>
      <c r="B158" s="18" t="n"/>
      <c r="C158" s="18" t="n"/>
      <c r="D158" s="18" t="n"/>
      <c r="E158" s="18" t="n"/>
    </row>
    <row r="159" ht="15.75" customHeight="1" s="35">
      <c r="A159" s="18" t="n"/>
      <c r="B159" s="18" t="n"/>
      <c r="C159" s="18" t="n"/>
      <c r="D159" s="18" t="n"/>
      <c r="E159" s="18" t="n"/>
    </row>
    <row r="160" ht="15.75" customHeight="1" s="35">
      <c r="A160" s="18" t="n"/>
      <c r="B160" s="18" t="n"/>
      <c r="C160" s="18" t="n"/>
      <c r="D160" s="18" t="n"/>
      <c r="E160" s="18" t="n"/>
    </row>
    <row r="161" ht="15.75" customHeight="1" s="35">
      <c r="A161" s="18" t="n"/>
      <c r="B161" s="18" t="n"/>
      <c r="C161" s="18" t="n"/>
      <c r="D161" s="18" t="n"/>
      <c r="E161" s="18" t="n"/>
    </row>
    <row r="162" ht="15.75" customHeight="1" s="35">
      <c r="A162" s="18" t="n"/>
      <c r="B162" s="18" t="n"/>
      <c r="C162" s="18" t="n"/>
      <c r="D162" s="18" t="n"/>
      <c r="E162" s="18" t="n"/>
    </row>
    <row r="163" ht="15.75" customHeight="1" s="35">
      <c r="A163" s="18" t="n"/>
      <c r="B163" s="18" t="n"/>
      <c r="C163" s="18" t="n"/>
      <c r="D163" s="18" t="n"/>
      <c r="E163" s="18" t="n"/>
    </row>
    <row r="164" ht="15.75" customHeight="1" s="35">
      <c r="A164" s="18" t="n"/>
      <c r="B164" s="18" t="n"/>
      <c r="C164" s="18" t="n"/>
      <c r="D164" s="18" t="n"/>
      <c r="E164" s="18" t="n"/>
    </row>
    <row r="165" ht="15.75" customHeight="1" s="35">
      <c r="A165" s="18" t="n"/>
      <c r="B165" s="18" t="n"/>
      <c r="C165" s="18" t="n"/>
      <c r="D165" s="18" t="n"/>
      <c r="E165" s="18" t="n"/>
    </row>
    <row r="166" ht="15.75" customHeight="1" s="35">
      <c r="A166" s="18" t="n"/>
      <c r="B166" s="18" t="n"/>
      <c r="C166" s="18" t="n"/>
      <c r="D166" s="18" t="n"/>
      <c r="E166" s="18" t="n"/>
    </row>
    <row r="167" ht="15.75" customHeight="1" s="35">
      <c r="A167" s="18" t="n"/>
      <c r="B167" s="18" t="n"/>
      <c r="C167" s="18" t="n"/>
      <c r="D167" s="18" t="n"/>
      <c r="E167" s="18" t="n"/>
    </row>
    <row r="168" ht="15.75" customHeight="1" s="35">
      <c r="A168" s="18" t="n"/>
      <c r="B168" s="18" t="n"/>
      <c r="C168" s="18" t="n"/>
      <c r="D168" s="18" t="n"/>
      <c r="E168" s="18" t="n"/>
    </row>
    <row r="169" ht="15.75" customHeight="1" s="35">
      <c r="A169" s="18" t="n"/>
      <c r="B169" s="18" t="n"/>
      <c r="C169" s="18" t="n"/>
      <c r="D169" s="18" t="n"/>
      <c r="E169" s="18" t="n"/>
    </row>
    <row r="170" ht="15.75" customHeight="1" s="35">
      <c r="A170" s="18" t="n"/>
      <c r="B170" s="18" t="n"/>
      <c r="C170" s="18" t="n"/>
      <c r="D170" s="18" t="n"/>
      <c r="E170" s="18" t="n"/>
    </row>
    <row r="171" ht="15.75" customHeight="1" s="35">
      <c r="A171" s="18" t="n"/>
      <c r="B171" s="18" t="n"/>
      <c r="C171" s="18" t="n"/>
      <c r="D171" s="18" t="n"/>
      <c r="E171" s="18" t="n"/>
    </row>
    <row r="172" ht="15.75" customHeight="1" s="35">
      <c r="A172" s="18" t="n"/>
      <c r="B172" s="18" t="n"/>
      <c r="C172" s="18" t="n"/>
      <c r="D172" s="18" t="n"/>
      <c r="E172" s="18" t="n"/>
    </row>
    <row r="173" ht="15.75" customHeight="1" s="35">
      <c r="A173" s="18" t="n"/>
      <c r="B173" s="18" t="n"/>
      <c r="C173" s="18" t="n"/>
      <c r="D173" s="18" t="n"/>
      <c r="E173" s="18" t="n"/>
    </row>
    <row r="174" ht="15.75" customHeight="1" s="35">
      <c r="A174" s="18" t="n"/>
      <c r="B174" s="18" t="n"/>
      <c r="C174" s="18" t="n"/>
      <c r="D174" s="18" t="n"/>
      <c r="E174" s="18" t="n"/>
    </row>
    <row r="175" ht="15.75" customHeight="1" s="35">
      <c r="A175" s="18" t="n"/>
      <c r="B175" s="18" t="n"/>
      <c r="C175" s="18" t="n"/>
      <c r="D175" s="18" t="n"/>
      <c r="E175" s="18" t="n"/>
    </row>
    <row r="176" ht="15.75" customHeight="1" s="35">
      <c r="A176" s="18" t="n"/>
      <c r="B176" s="18" t="n"/>
      <c r="C176" s="18" t="n"/>
      <c r="D176" s="18" t="n"/>
      <c r="E176" s="18" t="n"/>
    </row>
    <row r="177" ht="15.75" customHeight="1" s="35">
      <c r="A177" s="18" t="n"/>
      <c r="B177" s="18" t="n"/>
      <c r="C177" s="18" t="n"/>
      <c r="D177" s="18" t="n"/>
      <c r="E177" s="18" t="n"/>
    </row>
    <row r="178" ht="15.75" customHeight="1" s="35">
      <c r="A178" s="18" t="n"/>
      <c r="B178" s="18" t="n"/>
      <c r="C178" s="18" t="n"/>
      <c r="D178" s="18" t="n"/>
      <c r="E178" s="18" t="n"/>
    </row>
    <row r="179" ht="15.75" customHeight="1" s="35">
      <c r="A179" s="18" t="n"/>
      <c r="B179" s="18" t="n"/>
      <c r="C179" s="18" t="n"/>
      <c r="D179" s="18" t="n"/>
      <c r="E179" s="18" t="n"/>
    </row>
    <row r="180" ht="15.75" customHeight="1" s="35">
      <c r="A180" s="18" t="n"/>
      <c r="B180" s="18" t="n"/>
      <c r="C180" s="18" t="n"/>
      <c r="D180" s="18" t="n"/>
      <c r="E180" s="18" t="n"/>
    </row>
    <row r="181" ht="15.75" customHeight="1" s="35">
      <c r="A181" s="18" t="n"/>
      <c r="B181" s="18" t="n"/>
      <c r="C181" s="18" t="n"/>
      <c r="D181" s="18" t="n"/>
      <c r="E181" s="18" t="n"/>
    </row>
    <row r="182" ht="15.75" customHeight="1" s="35">
      <c r="A182" s="18" t="n"/>
      <c r="B182" s="18" t="n"/>
      <c r="C182" s="18" t="n"/>
      <c r="D182" s="18" t="n"/>
      <c r="E182" s="18" t="n"/>
    </row>
    <row r="183" ht="15.75" customHeight="1" s="35">
      <c r="A183" s="18" t="n"/>
      <c r="B183" s="18" t="n"/>
      <c r="C183" s="18" t="n"/>
      <c r="D183" s="18" t="n"/>
      <c r="E183" s="18" t="n"/>
    </row>
    <row r="184" ht="15.75" customHeight="1" s="35">
      <c r="A184" s="18" t="n"/>
      <c r="B184" s="18" t="n"/>
      <c r="C184" s="18" t="n"/>
      <c r="D184" s="18" t="n"/>
      <c r="E184" s="18" t="n"/>
    </row>
    <row r="185" ht="15.75" customHeight="1" s="35">
      <c r="A185" s="18" t="n"/>
      <c r="B185" s="18" t="n"/>
      <c r="C185" s="18" t="n"/>
      <c r="D185" s="18" t="n"/>
      <c r="E185" s="18" t="n"/>
    </row>
    <row r="186" ht="15.75" customHeight="1" s="35">
      <c r="A186" s="18" t="n"/>
      <c r="B186" s="18" t="n"/>
      <c r="C186" s="18" t="n"/>
      <c r="D186" s="18" t="n"/>
      <c r="E186" s="18" t="n"/>
    </row>
    <row r="187" ht="15.75" customHeight="1" s="35">
      <c r="A187" s="18" t="n"/>
      <c r="B187" s="18" t="n"/>
      <c r="C187" s="18" t="n"/>
      <c r="D187" s="18" t="n"/>
      <c r="E187" s="18" t="n"/>
    </row>
    <row r="188" ht="15.75" customHeight="1" s="35">
      <c r="A188" s="18" t="n"/>
      <c r="B188" s="18" t="n"/>
      <c r="C188" s="18" t="n"/>
      <c r="D188" s="18" t="n"/>
      <c r="E188" s="18" t="n"/>
    </row>
    <row r="189" ht="15.75" customHeight="1" s="35">
      <c r="A189" s="18" t="n"/>
      <c r="B189" s="18" t="n"/>
      <c r="C189" s="18" t="n"/>
      <c r="D189" s="18" t="n"/>
      <c r="E189" s="18" t="n"/>
    </row>
    <row r="190" ht="15.75" customHeight="1" s="35">
      <c r="A190" s="18" t="n"/>
      <c r="B190" s="18" t="n"/>
      <c r="C190" s="18" t="n"/>
      <c r="D190" s="18" t="n"/>
      <c r="E190" s="18" t="n"/>
    </row>
    <row r="191" ht="15.75" customHeight="1" s="35">
      <c r="A191" s="18" t="n"/>
      <c r="B191" s="18" t="n"/>
      <c r="C191" s="18" t="n"/>
      <c r="D191" s="18" t="n"/>
      <c r="E191" s="18" t="n"/>
    </row>
    <row r="192" ht="15.75" customHeight="1" s="35">
      <c r="A192" s="18" t="n"/>
      <c r="B192" s="18" t="n"/>
      <c r="C192" s="18" t="n"/>
      <c r="D192" s="18" t="n"/>
      <c r="E192" s="18" t="n"/>
    </row>
    <row r="193" ht="15.75" customHeight="1" s="35">
      <c r="A193" s="18" t="n"/>
      <c r="B193" s="18" t="n"/>
      <c r="C193" s="18" t="n"/>
      <c r="D193" s="18" t="n"/>
      <c r="E193" s="18" t="n"/>
    </row>
    <row r="194" ht="15.75" customHeight="1" s="35">
      <c r="A194" s="18" t="n"/>
      <c r="B194" s="18" t="n"/>
      <c r="C194" s="18" t="n"/>
      <c r="D194" s="18" t="n"/>
      <c r="E194" s="18" t="n"/>
    </row>
    <row r="195" ht="15.75" customHeight="1" s="35">
      <c r="A195" s="18" t="n"/>
      <c r="B195" s="18" t="n"/>
      <c r="C195" s="18" t="n"/>
      <c r="D195" s="18" t="n"/>
      <c r="E195" s="18" t="n"/>
    </row>
    <row r="196" ht="15.75" customHeight="1" s="35">
      <c r="A196" s="18" t="n"/>
      <c r="B196" s="18" t="n"/>
      <c r="C196" s="18" t="n"/>
      <c r="D196" s="18" t="n"/>
      <c r="E196" s="18" t="n"/>
    </row>
    <row r="197" ht="15.75" customHeight="1" s="35">
      <c r="A197" s="18" t="n"/>
      <c r="B197" s="18" t="n"/>
      <c r="C197" s="18" t="n"/>
      <c r="D197" s="18" t="n"/>
      <c r="E197" s="18" t="n"/>
    </row>
    <row r="198" ht="15.75" customHeight="1" s="35">
      <c r="A198" s="18" t="n"/>
      <c r="B198" s="18" t="n"/>
      <c r="C198" s="18" t="n"/>
      <c r="D198" s="18" t="n"/>
      <c r="E198" s="18" t="n"/>
    </row>
    <row r="199" ht="15.75" customHeight="1" s="35">
      <c r="A199" s="18" t="n"/>
      <c r="B199" s="18" t="n"/>
      <c r="C199" s="18" t="n"/>
      <c r="D199" s="18" t="n"/>
      <c r="E199" s="18" t="n"/>
    </row>
    <row r="200" ht="15.75" customHeight="1" s="35">
      <c r="A200" s="18" t="n"/>
      <c r="B200" s="18" t="n"/>
      <c r="C200" s="18" t="n"/>
      <c r="D200" s="18" t="n"/>
      <c r="E200" s="18" t="n"/>
    </row>
    <row r="201" ht="15.75" customHeight="1" s="35">
      <c r="A201" s="18" t="n"/>
      <c r="B201" s="18" t="n"/>
      <c r="C201" s="18" t="n"/>
      <c r="D201" s="18" t="n"/>
      <c r="E201" s="18" t="n"/>
    </row>
    <row r="202" ht="15.75" customHeight="1" s="35">
      <c r="A202" s="18" t="n"/>
      <c r="B202" s="18" t="n"/>
      <c r="C202" s="18" t="n"/>
      <c r="D202" s="18" t="n"/>
      <c r="E202" s="18" t="n"/>
    </row>
    <row r="203" ht="15.75" customHeight="1" s="35">
      <c r="A203" s="18" t="n"/>
      <c r="B203" s="18" t="n"/>
      <c r="C203" s="18" t="n"/>
      <c r="D203" s="18" t="n"/>
      <c r="E203" s="18" t="n"/>
    </row>
    <row r="204" ht="15.75" customHeight="1" s="35">
      <c r="A204" s="18" t="n"/>
      <c r="B204" s="18" t="n"/>
      <c r="C204" s="18" t="n"/>
      <c r="D204" s="18" t="n"/>
      <c r="E204" s="18" t="n"/>
    </row>
    <row r="205" ht="15.75" customHeight="1" s="35">
      <c r="A205" s="18" t="n"/>
      <c r="B205" s="18" t="n"/>
      <c r="C205" s="18" t="n"/>
      <c r="D205" s="18" t="n"/>
      <c r="E205" s="18" t="n"/>
    </row>
    <row r="206" ht="15.75" customHeight="1" s="35">
      <c r="A206" s="18" t="n"/>
      <c r="B206" s="18" t="n"/>
      <c r="C206" s="18" t="n"/>
      <c r="D206" s="18" t="n"/>
      <c r="E206" s="18" t="n"/>
    </row>
    <row r="207" ht="15.75" customHeight="1" s="35">
      <c r="A207" s="18" t="n"/>
      <c r="B207" s="18" t="n"/>
      <c r="C207" s="18" t="n"/>
      <c r="D207" s="18" t="n"/>
      <c r="E207" s="18" t="n"/>
    </row>
    <row r="208" ht="15.75" customHeight="1" s="35">
      <c r="A208" s="18" t="n"/>
      <c r="B208" s="18" t="n"/>
      <c r="C208" s="18" t="n"/>
      <c r="D208" s="18" t="n"/>
      <c r="E208" s="18" t="n"/>
    </row>
    <row r="209" ht="15.75" customHeight="1" s="35">
      <c r="A209" s="18" t="n"/>
      <c r="B209" s="18" t="n"/>
      <c r="C209" s="18" t="n"/>
      <c r="D209" s="18" t="n"/>
      <c r="E209" s="18" t="n"/>
    </row>
    <row r="210" ht="15.75" customHeight="1" s="35">
      <c r="A210" s="18" t="n"/>
      <c r="B210" s="18" t="n"/>
      <c r="C210" s="18" t="n"/>
      <c r="D210" s="18" t="n"/>
      <c r="E210" s="18" t="n"/>
    </row>
    <row r="211" ht="15.75" customHeight="1" s="35">
      <c r="A211" s="18" t="n"/>
      <c r="B211" s="18" t="n"/>
      <c r="C211" s="18" t="n"/>
      <c r="D211" s="18" t="n"/>
      <c r="E211" s="18" t="n"/>
    </row>
    <row r="212" ht="15.75" customHeight="1" s="35">
      <c r="A212" s="18" t="n"/>
      <c r="B212" s="18" t="n"/>
      <c r="C212" s="18" t="n"/>
      <c r="D212" s="18" t="n"/>
      <c r="E212" s="18" t="n"/>
    </row>
    <row r="213" ht="15.75" customHeight="1" s="35">
      <c r="A213" s="18" t="n"/>
      <c r="B213" s="18" t="n"/>
      <c r="C213" s="18" t="n"/>
      <c r="D213" s="18" t="n"/>
      <c r="E213" s="18" t="n"/>
    </row>
    <row r="214" ht="15.75" customHeight="1" s="35">
      <c r="A214" s="18" t="n"/>
      <c r="B214" s="18" t="n"/>
      <c r="C214" s="18" t="n"/>
      <c r="D214" s="18" t="n"/>
      <c r="E214" s="18" t="n"/>
    </row>
    <row r="215" ht="15.75" customHeight="1" s="35">
      <c r="A215" s="18" t="n"/>
      <c r="B215" s="18" t="n"/>
      <c r="C215" s="18" t="n"/>
      <c r="D215" s="18" t="n"/>
      <c r="E215" s="18" t="n"/>
    </row>
    <row r="216" ht="15.75" customHeight="1" s="35">
      <c r="A216" s="18" t="n"/>
      <c r="B216" s="18" t="n"/>
      <c r="C216" s="18" t="n"/>
      <c r="D216" s="18" t="n"/>
      <c r="E216" s="18" t="n"/>
    </row>
    <row r="217" ht="15.75" customHeight="1" s="35">
      <c r="A217" s="18" t="n"/>
      <c r="B217" s="18" t="n"/>
      <c r="C217" s="18" t="n"/>
      <c r="D217" s="18" t="n"/>
      <c r="E217" s="18" t="n"/>
    </row>
    <row r="218" ht="15.75" customHeight="1" s="35">
      <c r="A218" s="18" t="n"/>
      <c r="B218" s="18" t="n"/>
      <c r="C218" s="18" t="n"/>
      <c r="D218" s="18" t="n"/>
      <c r="E218" s="18" t="n"/>
    </row>
    <row r="219" ht="15.75" customHeight="1" s="35">
      <c r="A219" s="18" t="n"/>
      <c r="B219" s="18" t="n"/>
      <c r="C219" s="18" t="n"/>
      <c r="D219" s="18" t="n"/>
      <c r="E219" s="18" t="n"/>
    </row>
    <row r="220" ht="15.75" customHeight="1" s="35">
      <c r="A220" s="18" t="n"/>
      <c r="B220" s="18" t="n"/>
      <c r="C220" s="18" t="n"/>
      <c r="D220" s="18" t="n"/>
      <c r="E220" s="18" t="n"/>
    </row>
    <row r="221" ht="15.75" customHeight="1" s="35">
      <c r="A221" s="18" t="n"/>
      <c r="B221" s="18" t="n"/>
      <c r="C221" s="18" t="n"/>
      <c r="D221" s="18" t="n"/>
      <c r="E221" s="18" t="n"/>
    </row>
    <row r="222" ht="15.75" customHeight="1" s="35">
      <c r="A222" s="18" t="n"/>
      <c r="B222" s="18" t="n"/>
      <c r="C222" s="18" t="n"/>
      <c r="D222" s="18" t="n"/>
      <c r="E222" s="18" t="n"/>
    </row>
    <row r="223" ht="15.75" customHeight="1" s="35">
      <c r="A223" s="18" t="n"/>
      <c r="B223" s="18" t="n"/>
      <c r="C223" s="18" t="n"/>
      <c r="D223" s="18" t="n"/>
      <c r="E223" s="18" t="n"/>
    </row>
    <row r="224" ht="15.75" customHeight="1" s="35">
      <c r="A224" s="18" t="n"/>
      <c r="B224" s="18" t="n"/>
      <c r="C224" s="18" t="n"/>
      <c r="D224" s="18" t="n"/>
      <c r="E224" s="18" t="n"/>
    </row>
    <row r="225" ht="15.75" customHeight="1" s="35">
      <c r="A225" s="18" t="n"/>
      <c r="B225" s="18" t="n"/>
      <c r="C225" s="18" t="n"/>
      <c r="D225" s="18" t="n"/>
      <c r="E225" s="18" t="n"/>
    </row>
    <row r="226" ht="15.75" customHeight="1" s="35">
      <c r="A226" s="18" t="n"/>
      <c r="B226" s="18" t="n"/>
      <c r="C226" s="18" t="n"/>
      <c r="D226" s="18" t="n"/>
      <c r="E226" s="18" t="n"/>
    </row>
    <row r="227" ht="15.75" customHeight="1" s="35">
      <c r="A227" s="18" t="n"/>
      <c r="B227" s="18" t="n"/>
      <c r="C227" s="18" t="n"/>
      <c r="D227" s="18" t="n"/>
      <c r="E227" s="18" t="n"/>
    </row>
    <row r="228" ht="15.75" customHeight="1" s="35">
      <c r="A228" s="18" t="n"/>
      <c r="B228" s="18" t="n"/>
      <c r="C228" s="18" t="n"/>
      <c r="D228" s="18" t="n"/>
      <c r="E228" s="18" t="n"/>
    </row>
    <row r="229" ht="15.75" customHeight="1" s="35">
      <c r="A229" s="18" t="n"/>
      <c r="B229" s="18" t="n"/>
      <c r="C229" s="18" t="n"/>
      <c r="D229" s="18" t="n"/>
      <c r="E229" s="18" t="n"/>
    </row>
    <row r="230" ht="15.75" customHeight="1" s="35">
      <c r="A230" s="18" t="n"/>
      <c r="B230" s="18" t="n"/>
      <c r="C230" s="18" t="n"/>
      <c r="D230" s="18" t="n"/>
      <c r="E230" s="18" t="n"/>
    </row>
    <row r="231" ht="15.75" customHeight="1" s="35">
      <c r="A231" s="18" t="n"/>
      <c r="B231" s="18" t="n"/>
      <c r="C231" s="18" t="n"/>
      <c r="D231" s="18" t="n"/>
      <c r="E231" s="18" t="n"/>
    </row>
    <row r="232" ht="15.75" customHeight="1" s="35">
      <c r="A232" s="18" t="n"/>
      <c r="B232" s="18" t="n"/>
      <c r="C232" s="18" t="n"/>
      <c r="D232" s="18" t="n"/>
      <c r="E232" s="18" t="n"/>
    </row>
    <row r="233" ht="15.75" customHeight="1" s="35">
      <c r="A233" s="18" t="n"/>
      <c r="B233" s="18" t="n"/>
      <c r="C233" s="18" t="n"/>
      <c r="D233" s="18" t="n"/>
      <c r="E233" s="18" t="n"/>
    </row>
    <row r="234" ht="15.75" customHeight="1" s="35">
      <c r="A234" s="18" t="n"/>
      <c r="B234" s="18" t="n"/>
      <c r="C234" s="18" t="n"/>
      <c r="D234" s="18" t="n"/>
      <c r="E234" s="18" t="n"/>
    </row>
    <row r="235" ht="15.75" customHeight="1" s="35">
      <c r="A235" s="18" t="n"/>
      <c r="B235" s="18" t="n"/>
      <c r="C235" s="18" t="n"/>
      <c r="D235" s="18" t="n"/>
      <c r="E235" s="18" t="n"/>
    </row>
    <row r="236" ht="15.75" customHeight="1" s="35">
      <c r="A236" s="18" t="n"/>
      <c r="B236" s="18" t="n"/>
      <c r="C236" s="18" t="n"/>
      <c r="D236" s="18" t="n"/>
      <c r="E236" s="18" t="n"/>
    </row>
    <row r="237" ht="15.75" customHeight="1" s="35">
      <c r="A237" s="18" t="n"/>
      <c r="B237" s="18" t="n"/>
      <c r="C237" s="18" t="n"/>
      <c r="D237" s="18" t="n"/>
      <c r="E237" s="18" t="n"/>
    </row>
    <row r="238" ht="15.75" customHeight="1" s="35">
      <c r="A238" s="18" t="n"/>
      <c r="B238" s="18" t="n"/>
      <c r="C238" s="18" t="n"/>
      <c r="D238" s="18" t="n"/>
      <c r="E238" s="18" t="n"/>
    </row>
    <row r="239" ht="15.75" customHeight="1" s="35">
      <c r="A239" s="18" t="n"/>
      <c r="B239" s="18" t="n"/>
      <c r="C239" s="18" t="n"/>
      <c r="D239" s="18" t="n"/>
      <c r="E239" s="18" t="n"/>
    </row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8">
    <mergeCell ref="A20:E20"/>
    <mergeCell ref="A2:E2"/>
    <mergeCell ref="A10:E10"/>
    <mergeCell ref="A28:E28"/>
    <mergeCell ref="A19:E19"/>
    <mergeCell ref="A1:E1"/>
    <mergeCell ref="A9:E9"/>
    <mergeCell ref="A27:E27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5" min="1" max="1"/>
    <col width="38" customWidth="1" style="35" min="2" max="2"/>
    <col width="10" customWidth="1" style="35" min="3" max="3"/>
    <col width="50" customWidth="1" style="35" min="4" max="4"/>
    <col width="26" customWidth="1" style="35" min="5" max="5"/>
    <col width="8.710000000000001" customWidth="1" style="35" min="6" max="6"/>
  </cols>
  <sheetData>
    <row r="1" ht="24" customHeight="1" s="35">
      <c r="A1" s="1" t="inlineStr">
        <is>
          <t>Transit — every journey</t>
        </is>
      </c>
    </row>
    <row r="2" ht="18" customHeight="1" s="35">
      <c r="A2" s="2" t="inlineStr">
        <is>
          <t>Modes · times with traffic buffer · departure cues</t>
        </is>
      </c>
    </row>
    <row r="3">
      <c r="A3" s="18" t="n"/>
      <c r="B3" s="18" t="n"/>
      <c r="C3" s="18" t="n"/>
      <c r="D3" s="18" t="n"/>
      <c r="E3" s="18" t="n"/>
    </row>
    <row r="4" ht="15" customHeight="1" s="35">
      <c r="A4" s="4" t="inlineStr">
        <is>
          <t>Date</t>
        </is>
      </c>
      <c r="B4" s="4" t="inlineStr">
        <is>
          <t>Leg</t>
        </is>
      </c>
      <c r="C4" s="4" t="inlineStr">
        <is>
          <t>Mode</t>
        </is>
      </c>
      <c r="D4" s="4" t="inlineStr">
        <is>
          <t>Time</t>
        </is>
      </c>
      <c r="E4" s="4" t="inlineStr">
        <is>
          <t>Start</t>
        </is>
      </c>
    </row>
    <row r="5" ht="15" customHeight="1" s="35">
      <c r="A5" s="17" t="inlineStr">
        <is>
          <t>Thu 9 Jul</t>
        </is>
      </c>
      <c r="B5" s="17" t="inlineStr">
        <is>
          <t>Auckland → Beijing CA784</t>
        </is>
      </c>
      <c r="C5" s="17" t="inlineStr">
        <is>
          <t>✈</t>
        </is>
      </c>
      <c r="D5" s="17" t="inlineStr">
        <is>
          <t>Dep 19:30 → Arr 04:40 Fri 10 Jul</t>
        </is>
      </c>
      <c r="E5" s="17" t="inlineStr">
        <is>
          <t>—</t>
        </is>
      </c>
    </row>
    <row r="6" ht="15" customHeight="1" s="35">
      <c r="A6" s="17" t="inlineStr">
        <is>
          <t>Sat 11 Jul</t>
        </is>
      </c>
      <c r="B6" s="17" t="inlineStr">
        <is>
          <t>Beijing → Munich CA961</t>
        </is>
      </c>
      <c r="C6" s="17" t="inlineStr">
        <is>
          <t>✈</t>
        </is>
      </c>
      <c r="D6" s="17" t="inlineStr">
        <is>
          <t>Dep 02:50 → Arr 07:05</t>
        </is>
      </c>
      <c r="E6" s="17" t="inlineStr">
        <is>
          <t>Collect car ~09:00</t>
        </is>
      </c>
    </row>
    <row r="7" ht="15" customHeight="1" s="35">
      <c r="A7" s="17" t="inlineStr">
        <is>
          <t>Sat 11 Jul</t>
        </is>
      </c>
      <c r="B7" s="17" t="inlineStr">
        <is>
          <t>Munich Airport → Burg Altpernstein, Austria</t>
        </is>
      </c>
      <c r="C7" s="17" t="inlineStr">
        <is>
          <t>🚗</t>
        </is>
      </c>
      <c r="D7" s="17" t="inlineStr">
        <is>
          <t>~290 km · ~3 hrs</t>
        </is>
      </c>
      <c r="E7" s="17" t="inlineStr">
        <is>
          <t>~10:00 (after car pickup)</t>
        </is>
      </c>
    </row>
    <row r="8" ht="15" customHeight="1" s="35">
      <c r="A8" s="9" t="inlineStr">
        <is>
          <t>Mon 13 Jul</t>
        </is>
      </c>
      <c r="B8" s="9" t="inlineStr">
        <is>
          <t>Burg Altpernstein → Prague</t>
        </is>
      </c>
      <c r="C8" s="9" t="inlineStr">
        <is>
          <t>🚗</t>
        </is>
      </c>
      <c r="D8" s="9" t="inlineStr">
        <is>
          <t>~430 km · 4.5–5 hrs</t>
        </is>
      </c>
      <c r="E8" s="9" t="inlineStr">
        <is>
          <t>08:00</t>
        </is>
      </c>
    </row>
    <row r="9" ht="15" customHeight="1" s="35">
      <c r="A9" s="17" t="inlineStr">
        <is>
          <t>Wed 15 Jul</t>
        </is>
      </c>
      <c r="B9" s="17" t="inlineStr">
        <is>
          <t>Prague → Vienna</t>
        </is>
      </c>
      <c r="C9" s="17" t="inlineStr">
        <is>
          <t>🚗</t>
        </is>
      </c>
      <c r="D9" s="17" t="inlineStr">
        <is>
          <t>~320 km · 3.5–4 hrs</t>
        </is>
      </c>
      <c r="E9" s="17" t="inlineStr">
        <is>
          <t>11:00 (after castle)</t>
        </is>
      </c>
    </row>
    <row r="10" ht="15" customHeight="1" s="35">
      <c r="A10" s="17" t="inlineStr">
        <is>
          <t>Thu 16 Jul</t>
        </is>
      </c>
      <c r="B10" s="17" t="inlineStr">
        <is>
          <t>Vienna → Budapest</t>
        </is>
      </c>
      <c r="C10" s="17" t="inlineStr">
        <is>
          <t>🚗</t>
        </is>
      </c>
      <c r="D10" s="17" t="inlineStr">
        <is>
          <t>~270 km · 2.5–3.5 hrs + border</t>
        </is>
      </c>
      <c r="E10" s="17" t="inlineStr">
        <is>
          <t>10:00</t>
        </is>
      </c>
    </row>
    <row r="11" ht="15" customHeight="1" s="35">
      <c r="A11" s="9" t="inlineStr">
        <is>
          <t>Fri 17 Jul</t>
        </is>
      </c>
      <c r="B11" s="9" t="inlineStr">
        <is>
          <t>Budapest → Bled stop → Venice</t>
        </is>
      </c>
      <c r="C11" s="9" t="inlineStr">
        <is>
          <t>🚗</t>
        </is>
      </c>
      <c r="D11" s="9" t="inlineStr">
        <is>
          <t>~530 km · 8–9 hrs</t>
        </is>
      </c>
      <c r="E11" s="9" t="inlineStr">
        <is>
          <t>07:30</t>
        </is>
      </c>
    </row>
    <row r="12" ht="15" customHeight="1" s="35">
      <c r="A12" s="17" t="inlineStr">
        <is>
          <t>Sun 19 Jul</t>
        </is>
      </c>
      <c r="B12" s="17" t="inlineStr">
        <is>
          <t>Venice → Florence</t>
        </is>
      </c>
      <c r="C12" s="17" t="inlineStr">
        <is>
          <t>🚗</t>
        </is>
      </c>
      <c r="D12" s="17" t="inlineStr">
        <is>
          <t>~270 km · 3–3.5 hrs</t>
        </is>
      </c>
      <c r="E12" s="17" t="inlineStr">
        <is>
          <t>10:00</t>
        </is>
      </c>
    </row>
    <row r="13" ht="15" customHeight="1" s="35">
      <c r="A13" s="17" t="inlineStr">
        <is>
          <t>Mon 20 Jul</t>
        </is>
      </c>
      <c r="B13" s="17" t="inlineStr">
        <is>
          <t>Florence → Pisa stop → Rome</t>
        </is>
      </c>
      <c r="C13" s="17" t="inlineStr">
        <is>
          <t>🚗</t>
        </is>
      </c>
      <c r="D13" s="17" t="inlineStr">
        <is>
          <t>~420 km · 5–6 hrs</t>
        </is>
      </c>
      <c r="E13" s="17" t="inlineStr">
        <is>
          <t>09:30 (after Uffizi)</t>
        </is>
      </c>
    </row>
    <row r="14" ht="15" customHeight="1" s="35">
      <c r="A14" s="9" t="inlineStr">
        <is>
          <t>Tue 21 Jul</t>
        </is>
      </c>
      <c r="B14" s="9" t="inlineStr">
        <is>
          <t>Rome → Pompeii → Naples → Rome</t>
        </is>
      </c>
      <c r="C14" s="9" t="inlineStr">
        <is>
          <t>🚗</t>
        </is>
      </c>
      <c r="D14" s="9" t="inlineStr">
        <is>
          <t>~460 km round · 8–9 hrs</t>
        </is>
      </c>
      <c r="E14" s="9" t="inlineStr">
        <is>
          <t>08:00 · back by 18:00</t>
        </is>
      </c>
    </row>
    <row r="15" ht="15" customHeight="1" s="35">
      <c r="A15" s="9" t="inlineStr">
        <is>
          <t>Thu 23 Jul</t>
        </is>
      </c>
      <c r="B15" s="9" t="inlineStr">
        <is>
          <t>Rome → Florence stop → Milan</t>
        </is>
      </c>
      <c r="C15" s="9" t="inlineStr">
        <is>
          <t>🚗</t>
        </is>
      </c>
      <c r="D15" s="9" t="inlineStr">
        <is>
          <t>~580 km · 6.5–7.5 hrs</t>
        </is>
      </c>
      <c r="E15" s="9" t="inlineStr">
        <is>
          <t>07:30</t>
        </is>
      </c>
    </row>
    <row r="16" ht="15" customHeight="1" s="35">
      <c r="A16" s="17" t="inlineStr">
        <is>
          <t>Fri 24 Jul</t>
        </is>
      </c>
      <c r="B16" s="17" t="inlineStr">
        <is>
          <t>Milan → Stalden (Valais) via Simplon</t>
        </is>
      </c>
      <c r="C16" s="17" t="inlineStr">
        <is>
          <t>🚗</t>
        </is>
      </c>
      <c r="D16" s="17" t="inlineStr">
        <is>
          <t>~290 km · 3.5–4 hrs</t>
        </is>
      </c>
      <c r="E16" s="17" t="inlineStr">
        <is>
          <t>14:30 from Milan (after Duomo morning)</t>
        </is>
      </c>
    </row>
    <row r="17" ht="15" customHeight="1" s="35">
      <c r="A17" s="17" t="inlineStr">
        <is>
          <t>Sat 25 Jul</t>
        </is>
      </c>
      <c r="B17" s="17" t="inlineStr">
        <is>
          <t>Stalden ↔ Zermatt (train, Gornergrat) → Moléson</t>
        </is>
      </c>
      <c r="C17" s="17" t="inlineStr">
        <is>
          <t>🚆 + 🚗</t>
        </is>
      </c>
      <c r="D17" s="17" t="inlineStr">
        <is>
          <t>Train 30min × 2 · drive ~190 km · 2.5–3 hrs</t>
        </is>
      </c>
      <c r="E17" s="17" t="inlineStr">
        <is>
          <t>07:00 train · 13:00 drive</t>
        </is>
      </c>
    </row>
    <row r="18" ht="15" customHeight="1" s="35">
      <c r="A18" s="17" t="inlineStr">
        <is>
          <t>Mon 27 Jul</t>
        </is>
      </c>
      <c r="B18" s="17" t="inlineStr">
        <is>
          <t>Moléson → Bern stop → Zürich</t>
        </is>
      </c>
      <c r="C18" s="17" t="inlineStr">
        <is>
          <t>🚗</t>
        </is>
      </c>
      <c r="D18" s="17" t="inlineStr">
        <is>
          <t>~245 km · 3 hrs + Bern stop</t>
        </is>
      </c>
      <c r="E18" s="17" t="inlineStr">
        <is>
          <t>09:30 from Moléson</t>
        </is>
      </c>
    </row>
    <row r="19" ht="15" customHeight="1" s="35">
      <c r="A19" s="9" t="inlineStr">
        <is>
          <t>Tue 28 Jul</t>
        </is>
      </c>
      <c r="B19" s="9" t="inlineStr">
        <is>
          <t>Zürich → MUC drop · fly Paris</t>
        </is>
      </c>
      <c r="C19" s="9" t="inlineStr">
        <is>
          <t>🚗+✈</t>
        </is>
      </c>
      <c r="D19" s="9" t="inlineStr">
        <is>
          <t>~340 km + 1h 45m fly</t>
        </is>
      </c>
      <c r="E19" s="9" t="inlineStr">
        <is>
          <t>08:00 from Zürich</t>
        </is>
      </c>
    </row>
    <row r="20" ht="15" customHeight="1" s="35">
      <c r="A20" s="9" t="inlineStr">
        <is>
          <t>Wed 29 Jul</t>
        </is>
      </c>
      <c r="B20" s="9" t="inlineStr">
        <is>
          <t>Paris → Lourdes TGV</t>
        </is>
      </c>
      <c r="C20" s="9" t="inlineStr">
        <is>
          <t>🚆</t>
        </is>
      </c>
      <c r="D20" s="9" t="inlineStr">
        <is>
          <t>~5 hrs</t>
        </is>
      </c>
      <c r="E20" s="9" t="inlineStr">
        <is>
          <t>Paris Montparnasse 08:00</t>
        </is>
      </c>
    </row>
    <row r="21" ht="26.25" customHeight="1" s="35">
      <c r="A21" s="9" t="inlineStr">
        <is>
          <t>Thu 30 Jul</t>
        </is>
      </c>
      <c r="B21" s="9" t="inlineStr">
        <is>
          <t>Lourdes → Paris → Thalys → Amsterdam</t>
        </is>
      </c>
      <c r="C21" s="9" t="inlineStr">
        <is>
          <t>🚆+🚆</t>
        </is>
      </c>
      <c r="D21" s="9" t="inlineStr">
        <is>
          <t>TGV 08:00→13:00 · taxi 40min · Thalys 14:13→17:32</t>
        </is>
      </c>
      <c r="E21" s="9" t="inlineStr">
        <is>
          <t>08:00 Lourdes — critical</t>
        </is>
      </c>
    </row>
    <row r="22" ht="15" customHeight="1" s="35">
      <c r="A22" s="17" t="inlineStr">
        <is>
          <t>Fri 31 Jul</t>
        </is>
      </c>
      <c r="B22" s="17" t="inlineStr">
        <is>
          <t>Amsterdam → Berlin ICE</t>
        </is>
      </c>
      <c r="C22" s="17" t="inlineStr">
        <is>
          <t>🚆</t>
        </is>
      </c>
      <c r="D22" s="17" t="inlineStr">
        <is>
          <t>~6 hrs</t>
        </is>
      </c>
      <c r="E22" s="17" t="inlineStr">
        <is>
          <t>Depart AMS 09:00</t>
        </is>
      </c>
    </row>
    <row r="23" ht="15" customHeight="1" s="35">
      <c r="A23" s="17" t="inlineStr">
        <is>
          <t>Sun 2 Aug</t>
        </is>
      </c>
      <c r="B23" s="17" t="inlineStr">
        <is>
          <t>Berlin → Copenhagen</t>
        </is>
      </c>
      <c r="C23" s="17" t="inlineStr">
        <is>
          <t>✈</t>
        </is>
      </c>
      <c r="D23" s="17" t="inlineStr">
        <is>
          <t>~1h 10min</t>
        </is>
      </c>
      <c r="E23" s="17" t="inlineStr">
        <is>
          <t>Depart BER 10:00</t>
        </is>
      </c>
    </row>
    <row r="24" ht="15" customHeight="1" s="35">
      <c r="A24" s="17" t="inlineStr">
        <is>
          <t>Mon 3 Aug</t>
        </is>
      </c>
      <c r="B24" s="17" t="inlineStr">
        <is>
          <t>Copenhagen → Gothenburg X2000</t>
        </is>
      </c>
      <c r="C24" s="17" t="inlineStr">
        <is>
          <t>🚆</t>
        </is>
      </c>
      <c r="D24" s="17" t="inlineStr">
        <is>
          <t>~3.5 hrs</t>
        </is>
      </c>
      <c r="E24" s="17" t="inlineStr">
        <is>
          <t>Depart CPH 11:00</t>
        </is>
      </c>
    </row>
    <row r="25" ht="26.25" customHeight="1" s="35">
      <c r="A25" s="9" t="inlineStr">
        <is>
          <t>Wed 5 Aug</t>
        </is>
      </c>
      <c r="B25" s="9" t="inlineStr">
        <is>
          <t>Gothenburg → Munich</t>
        </is>
      </c>
      <c r="C25" s="9" t="inlineStr">
        <is>
          <t>✈</t>
        </is>
      </c>
      <c r="D25" s="9" t="inlineStr">
        <is>
          <t>~2 hrs · land 08:30</t>
        </is>
      </c>
      <c r="E25" s="9" t="inlineStr">
        <is>
          <t>Depart GOT 06:30 — book now</t>
        </is>
      </c>
    </row>
    <row r="26" ht="15" customHeight="1" s="35">
      <c r="A26" s="17" t="inlineStr">
        <is>
          <t>Thu 6 Aug</t>
        </is>
      </c>
      <c r="B26" s="17" t="inlineStr">
        <is>
          <t>Munich → Beijing CA962</t>
        </is>
      </c>
      <c r="C26" s="17" t="inlineStr">
        <is>
          <t>✈</t>
        </is>
      </c>
      <c r="D26" s="17" t="inlineStr">
        <is>
          <t>Dep 13:00 → Arr 04:45 Fri 7 Aug</t>
        </is>
      </c>
      <c r="E26" s="17" t="inlineStr">
        <is>
          <t>MUC T2 check-in 10:30</t>
        </is>
      </c>
    </row>
    <row r="27" ht="15" customHeight="1" s="35">
      <c r="A27" s="17" t="inlineStr">
        <is>
          <t>Sat 8 Aug</t>
        </is>
      </c>
      <c r="B27" s="17" t="inlineStr">
        <is>
          <t>Beijing → Auckland CA783</t>
        </is>
      </c>
      <c r="C27" s="17" t="inlineStr">
        <is>
          <t>✈</t>
        </is>
      </c>
      <c r="D27" s="17" t="inlineStr">
        <is>
          <t>Dep 00:05 → Arr 16:30</t>
        </is>
      </c>
      <c r="E27" s="17" t="inlineStr">
        <is>
          <t>—</t>
        </is>
      </c>
    </row>
    <row r="28" ht="15.75" customHeight="1" s="35">
      <c r="A28" s="18" t="n"/>
      <c r="B28" s="18" t="n"/>
      <c r="C28" s="18" t="n"/>
      <c r="D28" s="18" t="n"/>
      <c r="E28" s="18" t="n"/>
    </row>
    <row r="29" ht="15.75" customHeight="1" s="35">
      <c r="A29" s="18" t="n"/>
      <c r="B29" s="18" t="n"/>
      <c r="C29" s="18" t="n"/>
      <c r="D29" s="18" t="n"/>
      <c r="E29" s="18" t="n"/>
    </row>
    <row r="30" ht="15.75" customHeight="1" s="35">
      <c r="A30" s="18" t="n"/>
      <c r="B30" s="18" t="n"/>
      <c r="C30" s="18" t="n"/>
      <c r="D30" s="18" t="n"/>
      <c r="E30" s="18" t="n"/>
    </row>
    <row r="31" ht="15.75" customHeight="1" s="35">
      <c r="A31" s="18" t="n"/>
      <c r="B31" s="18" t="n"/>
      <c r="C31" s="18" t="n"/>
      <c r="D31" s="18" t="n"/>
      <c r="E31" s="18" t="n"/>
    </row>
    <row r="32" ht="15.75" customHeight="1" s="35">
      <c r="A32" s="18" t="n"/>
      <c r="B32" s="18" t="n"/>
      <c r="C32" s="18" t="n"/>
      <c r="D32" s="18" t="n"/>
      <c r="E32" s="18" t="n"/>
    </row>
    <row r="33" ht="15.75" customHeight="1" s="35">
      <c r="A33" s="18" t="n"/>
      <c r="B33" s="18" t="n"/>
      <c r="C33" s="18" t="n"/>
      <c r="D33" s="18" t="n"/>
      <c r="E33" s="18" t="n"/>
    </row>
    <row r="34" ht="15.75" customHeight="1" s="35">
      <c r="A34" s="18" t="n"/>
      <c r="B34" s="18" t="n"/>
      <c r="C34" s="18" t="n"/>
      <c r="D34" s="18" t="n"/>
      <c r="E34" s="18" t="n"/>
    </row>
    <row r="35" ht="15.75" customHeight="1" s="35">
      <c r="A35" s="18" t="n"/>
      <c r="B35" s="18" t="n"/>
      <c r="C35" s="18" t="n"/>
      <c r="D35" s="18" t="n"/>
      <c r="E35" s="18" t="n"/>
    </row>
    <row r="36" ht="15.75" customHeight="1" s="35">
      <c r="A36" s="18" t="n"/>
      <c r="B36" s="18" t="n"/>
      <c r="C36" s="18" t="n"/>
      <c r="D36" s="18" t="n"/>
      <c r="E36" s="18" t="n"/>
    </row>
    <row r="37" ht="15.75" customHeight="1" s="35">
      <c r="A37" s="18" t="n"/>
      <c r="B37" s="18" t="n"/>
      <c r="C37" s="18" t="n"/>
      <c r="D37" s="18" t="n"/>
      <c r="E37" s="18" t="n"/>
    </row>
    <row r="38" ht="15.75" customHeight="1" s="35">
      <c r="A38" s="18" t="n"/>
      <c r="B38" s="18" t="n"/>
      <c r="C38" s="18" t="n"/>
      <c r="D38" s="18" t="n"/>
      <c r="E38" s="18" t="n"/>
    </row>
    <row r="39" ht="15.75" customHeight="1" s="35">
      <c r="A39" s="18" t="n"/>
      <c r="B39" s="18" t="n"/>
      <c r="C39" s="18" t="n"/>
      <c r="D39" s="18" t="n"/>
      <c r="E39" s="18" t="n"/>
    </row>
    <row r="40" ht="15.75" customHeight="1" s="35">
      <c r="A40" s="18" t="n"/>
      <c r="B40" s="18" t="n"/>
      <c r="C40" s="18" t="n"/>
      <c r="D40" s="18" t="n"/>
      <c r="E40" s="18" t="n"/>
    </row>
    <row r="41" ht="15.75" customHeight="1" s="35">
      <c r="A41" s="18" t="n"/>
      <c r="B41" s="18" t="n"/>
      <c r="C41" s="18" t="n"/>
      <c r="D41" s="18" t="n"/>
      <c r="E41" s="18" t="n"/>
    </row>
    <row r="42" ht="15.75" customHeight="1" s="35">
      <c r="A42" s="18" t="n"/>
      <c r="B42" s="18" t="n"/>
      <c r="C42" s="18" t="n"/>
      <c r="D42" s="18" t="n"/>
      <c r="E42" s="18" t="n"/>
    </row>
    <row r="43" ht="15.75" customHeight="1" s="35">
      <c r="A43" s="18" t="n"/>
      <c r="B43" s="18" t="n"/>
      <c r="C43" s="18" t="n"/>
      <c r="D43" s="18" t="n"/>
      <c r="E43" s="18" t="n"/>
    </row>
    <row r="44" ht="15.75" customHeight="1" s="35">
      <c r="A44" s="18" t="n"/>
      <c r="B44" s="18" t="n"/>
      <c r="C44" s="18" t="n"/>
      <c r="D44" s="18" t="n"/>
      <c r="E44" s="18" t="n"/>
    </row>
    <row r="45" ht="15.75" customHeight="1" s="35">
      <c r="A45" s="18" t="n"/>
      <c r="B45" s="18" t="n"/>
      <c r="C45" s="18" t="n"/>
      <c r="D45" s="18" t="n"/>
      <c r="E45" s="18" t="n"/>
    </row>
    <row r="46" ht="15.75" customHeight="1" s="35">
      <c r="A46" s="18" t="n"/>
      <c r="B46" s="18" t="n"/>
      <c r="C46" s="18" t="n"/>
      <c r="D46" s="18" t="n"/>
      <c r="E46" s="18" t="n"/>
    </row>
    <row r="47" ht="15.75" customHeight="1" s="35">
      <c r="A47" s="18" t="n"/>
      <c r="B47" s="18" t="n"/>
      <c r="C47" s="18" t="n"/>
      <c r="D47" s="18" t="n"/>
      <c r="E47" s="18" t="n"/>
    </row>
    <row r="48" ht="15.75" customHeight="1" s="35">
      <c r="A48" s="18" t="n"/>
      <c r="B48" s="18" t="n"/>
      <c r="C48" s="18" t="n"/>
      <c r="D48" s="18" t="n"/>
      <c r="E48" s="18" t="n"/>
    </row>
    <row r="49" ht="15.75" customHeight="1" s="35">
      <c r="A49" s="18" t="n"/>
      <c r="B49" s="18" t="n"/>
      <c r="C49" s="18" t="n"/>
      <c r="D49" s="18" t="n"/>
      <c r="E49" s="18" t="n"/>
    </row>
    <row r="50" ht="15.75" customHeight="1" s="35">
      <c r="A50" s="18" t="n"/>
      <c r="B50" s="18" t="n"/>
      <c r="C50" s="18" t="n"/>
      <c r="D50" s="18" t="n"/>
      <c r="E50" s="18" t="n"/>
    </row>
    <row r="51" ht="15.75" customHeight="1" s="35">
      <c r="A51" s="18" t="n"/>
      <c r="B51" s="18" t="n"/>
      <c r="C51" s="18" t="n"/>
      <c r="D51" s="18" t="n"/>
      <c r="E51" s="18" t="n"/>
    </row>
    <row r="52" ht="15.75" customHeight="1" s="35">
      <c r="A52" s="18" t="n"/>
      <c r="B52" s="18" t="n"/>
      <c r="C52" s="18" t="n"/>
      <c r="D52" s="18" t="n"/>
      <c r="E52" s="18" t="n"/>
    </row>
    <row r="53" ht="15.75" customHeight="1" s="35">
      <c r="A53" s="18" t="n"/>
      <c r="B53" s="18" t="n"/>
      <c r="C53" s="18" t="n"/>
      <c r="D53" s="18" t="n"/>
      <c r="E53" s="18" t="n"/>
    </row>
    <row r="54" ht="15.75" customHeight="1" s="35">
      <c r="A54" s="18" t="n"/>
      <c r="B54" s="18" t="n"/>
      <c r="C54" s="18" t="n"/>
      <c r="D54" s="18" t="n"/>
      <c r="E54" s="18" t="n"/>
    </row>
    <row r="55" ht="15.75" customHeight="1" s="35">
      <c r="A55" s="18" t="n"/>
      <c r="B55" s="18" t="n"/>
      <c r="C55" s="18" t="n"/>
      <c r="D55" s="18" t="n"/>
      <c r="E55" s="18" t="n"/>
    </row>
    <row r="56" ht="15.75" customHeight="1" s="35">
      <c r="A56" s="18" t="n"/>
      <c r="B56" s="18" t="n"/>
      <c r="C56" s="18" t="n"/>
      <c r="D56" s="18" t="n"/>
      <c r="E56" s="18" t="n"/>
    </row>
    <row r="57" ht="15.75" customHeight="1" s="35">
      <c r="A57" s="18" t="n"/>
      <c r="B57" s="18" t="n"/>
      <c r="C57" s="18" t="n"/>
      <c r="D57" s="18" t="n"/>
      <c r="E57" s="18" t="n"/>
    </row>
    <row r="58" ht="15.75" customHeight="1" s="35">
      <c r="A58" s="18" t="n"/>
      <c r="B58" s="18" t="n"/>
      <c r="C58" s="18" t="n"/>
      <c r="D58" s="18" t="n"/>
      <c r="E58" s="18" t="n"/>
    </row>
    <row r="59" ht="15.75" customHeight="1" s="35">
      <c r="A59" s="18" t="n"/>
      <c r="B59" s="18" t="n"/>
      <c r="C59" s="18" t="n"/>
      <c r="D59" s="18" t="n"/>
      <c r="E59" s="18" t="n"/>
    </row>
    <row r="60" ht="15.75" customHeight="1" s="35">
      <c r="A60" s="18" t="n"/>
      <c r="B60" s="18" t="n"/>
      <c r="C60" s="18" t="n"/>
      <c r="D60" s="18" t="n"/>
      <c r="E60" s="18" t="n"/>
    </row>
    <row r="61" ht="15.75" customHeight="1" s="35">
      <c r="A61" s="18" t="n"/>
      <c r="B61" s="18" t="n"/>
      <c r="C61" s="18" t="n"/>
      <c r="D61" s="18" t="n"/>
      <c r="E61" s="18" t="n"/>
    </row>
    <row r="62" ht="15.75" customHeight="1" s="35">
      <c r="A62" s="18" t="n"/>
      <c r="B62" s="18" t="n"/>
      <c r="C62" s="18" t="n"/>
      <c r="D62" s="18" t="n"/>
      <c r="E62" s="18" t="n"/>
    </row>
    <row r="63" ht="15.75" customHeight="1" s="35">
      <c r="A63" s="18" t="n"/>
      <c r="B63" s="18" t="n"/>
      <c r="C63" s="18" t="n"/>
      <c r="D63" s="18" t="n"/>
      <c r="E63" s="18" t="n"/>
    </row>
    <row r="64" ht="15.75" customHeight="1" s="35">
      <c r="A64" s="18" t="n"/>
      <c r="B64" s="18" t="n"/>
      <c r="C64" s="18" t="n"/>
      <c r="D64" s="18" t="n"/>
      <c r="E64" s="18" t="n"/>
    </row>
    <row r="65" ht="15.75" customHeight="1" s="35">
      <c r="A65" s="18" t="n"/>
      <c r="B65" s="18" t="n"/>
      <c r="C65" s="18" t="n"/>
      <c r="D65" s="18" t="n"/>
      <c r="E65" s="18" t="n"/>
    </row>
    <row r="66" ht="15.75" customHeight="1" s="35">
      <c r="A66" s="18" t="n"/>
      <c r="B66" s="18" t="n"/>
      <c r="C66" s="18" t="n"/>
      <c r="D66" s="18" t="n"/>
      <c r="E66" s="18" t="n"/>
    </row>
    <row r="67" ht="15.75" customHeight="1" s="35">
      <c r="A67" s="18" t="n"/>
      <c r="B67" s="18" t="n"/>
      <c r="C67" s="18" t="n"/>
      <c r="D67" s="18" t="n"/>
      <c r="E67" s="18" t="n"/>
    </row>
    <row r="68" ht="15.75" customHeight="1" s="35">
      <c r="A68" s="18" t="n"/>
      <c r="B68" s="18" t="n"/>
      <c r="C68" s="18" t="n"/>
      <c r="D68" s="18" t="n"/>
      <c r="E68" s="18" t="n"/>
    </row>
    <row r="69" ht="15.75" customHeight="1" s="35">
      <c r="A69" s="18" t="n"/>
      <c r="B69" s="18" t="n"/>
      <c r="C69" s="18" t="n"/>
      <c r="D69" s="18" t="n"/>
      <c r="E69" s="18" t="n"/>
    </row>
    <row r="70" ht="15.75" customHeight="1" s="35">
      <c r="A70" s="18" t="n"/>
      <c r="B70" s="18" t="n"/>
      <c r="C70" s="18" t="n"/>
      <c r="D70" s="18" t="n"/>
      <c r="E70" s="18" t="n"/>
    </row>
    <row r="71" ht="15.75" customHeight="1" s="35">
      <c r="A71" s="18" t="n"/>
      <c r="B71" s="18" t="n"/>
      <c r="C71" s="18" t="n"/>
      <c r="D71" s="18" t="n"/>
      <c r="E71" s="18" t="n"/>
    </row>
    <row r="72" ht="15.75" customHeight="1" s="35">
      <c r="A72" s="18" t="n"/>
      <c r="B72" s="18" t="n"/>
      <c r="C72" s="18" t="n"/>
      <c r="D72" s="18" t="n"/>
      <c r="E72" s="18" t="n"/>
    </row>
    <row r="73" ht="15.75" customHeight="1" s="35">
      <c r="A73" s="18" t="n"/>
      <c r="B73" s="18" t="n"/>
      <c r="C73" s="18" t="n"/>
      <c r="D73" s="18" t="n"/>
      <c r="E73" s="18" t="n"/>
    </row>
    <row r="74" ht="15.75" customHeight="1" s="35">
      <c r="A74" s="18" t="n"/>
      <c r="B74" s="18" t="n"/>
      <c r="C74" s="18" t="n"/>
      <c r="D74" s="18" t="n"/>
      <c r="E74" s="18" t="n"/>
    </row>
    <row r="75" ht="15.75" customHeight="1" s="35">
      <c r="A75" s="18" t="n"/>
      <c r="B75" s="18" t="n"/>
      <c r="C75" s="18" t="n"/>
      <c r="D75" s="18" t="n"/>
      <c r="E75" s="18" t="n"/>
    </row>
    <row r="76" ht="15.75" customHeight="1" s="35">
      <c r="A76" s="18" t="n"/>
      <c r="B76" s="18" t="n"/>
      <c r="C76" s="18" t="n"/>
      <c r="D76" s="18" t="n"/>
      <c r="E76" s="18" t="n"/>
    </row>
    <row r="77" ht="15.75" customHeight="1" s="35">
      <c r="A77" s="18" t="n"/>
      <c r="B77" s="18" t="n"/>
      <c r="C77" s="18" t="n"/>
      <c r="D77" s="18" t="n"/>
      <c r="E77" s="18" t="n"/>
    </row>
    <row r="78" ht="15.75" customHeight="1" s="35">
      <c r="A78" s="18" t="n"/>
      <c r="B78" s="18" t="n"/>
      <c r="C78" s="18" t="n"/>
      <c r="D78" s="18" t="n"/>
      <c r="E78" s="18" t="n"/>
    </row>
    <row r="79" ht="15.75" customHeight="1" s="35">
      <c r="A79" s="18" t="n"/>
      <c r="B79" s="18" t="n"/>
      <c r="C79" s="18" t="n"/>
      <c r="D79" s="18" t="n"/>
      <c r="E79" s="18" t="n"/>
    </row>
    <row r="80" ht="15.75" customHeight="1" s="35">
      <c r="A80" s="18" t="n"/>
      <c r="B80" s="18" t="n"/>
      <c r="C80" s="18" t="n"/>
      <c r="D80" s="18" t="n"/>
      <c r="E80" s="18" t="n"/>
    </row>
    <row r="81" ht="15.75" customHeight="1" s="35">
      <c r="A81" s="18" t="n"/>
      <c r="B81" s="18" t="n"/>
      <c r="C81" s="18" t="n"/>
      <c r="D81" s="18" t="n"/>
      <c r="E81" s="18" t="n"/>
    </row>
    <row r="82" ht="15.75" customHeight="1" s="35">
      <c r="A82" s="18" t="n"/>
      <c r="B82" s="18" t="n"/>
      <c r="C82" s="18" t="n"/>
      <c r="D82" s="18" t="n"/>
      <c r="E82" s="18" t="n"/>
    </row>
    <row r="83" ht="15.75" customHeight="1" s="35">
      <c r="A83" s="18" t="n"/>
      <c r="B83" s="18" t="n"/>
      <c r="C83" s="18" t="n"/>
      <c r="D83" s="18" t="n"/>
      <c r="E83" s="18" t="n"/>
    </row>
    <row r="84" ht="15.75" customHeight="1" s="35">
      <c r="A84" s="18" t="n"/>
      <c r="B84" s="18" t="n"/>
      <c r="C84" s="18" t="n"/>
      <c r="D84" s="18" t="n"/>
      <c r="E84" s="18" t="n"/>
    </row>
    <row r="85" ht="15.75" customHeight="1" s="35">
      <c r="A85" s="18" t="n"/>
      <c r="B85" s="18" t="n"/>
      <c r="C85" s="18" t="n"/>
      <c r="D85" s="18" t="n"/>
      <c r="E85" s="18" t="n"/>
    </row>
    <row r="86" ht="15.75" customHeight="1" s="35">
      <c r="A86" s="18" t="n"/>
      <c r="B86" s="18" t="n"/>
      <c r="C86" s="18" t="n"/>
      <c r="D86" s="18" t="n"/>
      <c r="E86" s="18" t="n"/>
    </row>
    <row r="87" ht="15.75" customHeight="1" s="35">
      <c r="A87" s="18" t="n"/>
      <c r="B87" s="18" t="n"/>
      <c r="C87" s="18" t="n"/>
      <c r="D87" s="18" t="n"/>
      <c r="E87" s="18" t="n"/>
    </row>
    <row r="88" ht="15.75" customHeight="1" s="35">
      <c r="A88" s="18" t="n"/>
      <c r="B88" s="18" t="n"/>
      <c r="C88" s="18" t="n"/>
      <c r="D88" s="18" t="n"/>
      <c r="E88" s="18" t="n"/>
    </row>
    <row r="89" ht="15.75" customHeight="1" s="35">
      <c r="A89" s="18" t="n"/>
      <c r="B89" s="18" t="n"/>
      <c r="C89" s="18" t="n"/>
      <c r="D89" s="18" t="n"/>
      <c r="E89" s="18" t="n"/>
    </row>
    <row r="90" ht="15.75" customHeight="1" s="35">
      <c r="A90" s="18" t="n"/>
      <c r="B90" s="18" t="n"/>
      <c r="C90" s="18" t="n"/>
      <c r="D90" s="18" t="n"/>
      <c r="E90" s="18" t="n"/>
    </row>
    <row r="91" ht="15.75" customHeight="1" s="35">
      <c r="A91" s="18" t="n"/>
      <c r="B91" s="18" t="n"/>
      <c r="C91" s="18" t="n"/>
      <c r="D91" s="18" t="n"/>
      <c r="E91" s="18" t="n"/>
    </row>
    <row r="92" ht="15.75" customHeight="1" s="35">
      <c r="A92" s="18" t="n"/>
      <c r="B92" s="18" t="n"/>
      <c r="C92" s="18" t="n"/>
      <c r="D92" s="18" t="n"/>
      <c r="E92" s="18" t="n"/>
    </row>
    <row r="93" ht="15.75" customHeight="1" s="35">
      <c r="A93" s="18" t="n"/>
      <c r="B93" s="18" t="n"/>
      <c r="C93" s="18" t="n"/>
      <c r="D93" s="18" t="n"/>
      <c r="E93" s="18" t="n"/>
    </row>
    <row r="94" ht="15.75" customHeight="1" s="35">
      <c r="A94" s="18" t="n"/>
      <c r="B94" s="18" t="n"/>
      <c r="C94" s="18" t="n"/>
      <c r="D94" s="18" t="n"/>
      <c r="E94" s="18" t="n"/>
    </row>
    <row r="95" ht="15.75" customHeight="1" s="35">
      <c r="A95" s="18" t="n"/>
      <c r="B95" s="18" t="n"/>
      <c r="C95" s="18" t="n"/>
      <c r="D95" s="18" t="n"/>
      <c r="E95" s="18" t="n"/>
    </row>
    <row r="96" ht="15.75" customHeight="1" s="35">
      <c r="A96" s="18" t="n"/>
      <c r="B96" s="18" t="n"/>
      <c r="C96" s="18" t="n"/>
      <c r="D96" s="18" t="n"/>
      <c r="E96" s="18" t="n"/>
    </row>
    <row r="97" ht="15.75" customHeight="1" s="35">
      <c r="A97" s="18" t="n"/>
      <c r="B97" s="18" t="n"/>
      <c r="C97" s="18" t="n"/>
      <c r="D97" s="18" t="n"/>
      <c r="E97" s="18" t="n"/>
    </row>
    <row r="98" ht="15.75" customHeight="1" s="35">
      <c r="A98" s="18" t="n"/>
      <c r="B98" s="18" t="n"/>
      <c r="C98" s="18" t="n"/>
      <c r="D98" s="18" t="n"/>
      <c r="E98" s="18" t="n"/>
    </row>
    <row r="99" ht="15.75" customHeight="1" s="35">
      <c r="A99" s="18" t="n"/>
      <c r="B99" s="18" t="n"/>
      <c r="C99" s="18" t="n"/>
      <c r="D99" s="18" t="n"/>
      <c r="E99" s="18" t="n"/>
    </row>
    <row r="100" ht="15.75" customHeight="1" s="35">
      <c r="A100" s="18" t="n"/>
      <c r="B100" s="18" t="n"/>
      <c r="C100" s="18" t="n"/>
      <c r="D100" s="18" t="n"/>
      <c r="E100" s="18" t="n"/>
    </row>
    <row r="101" ht="15.75" customHeight="1" s="35">
      <c r="A101" s="18" t="n"/>
      <c r="B101" s="18" t="n"/>
      <c r="C101" s="18" t="n"/>
      <c r="D101" s="18" t="n"/>
      <c r="E101" s="18" t="n"/>
    </row>
    <row r="102" ht="15.75" customHeight="1" s="35">
      <c r="A102" s="18" t="n"/>
      <c r="B102" s="18" t="n"/>
      <c r="C102" s="18" t="n"/>
      <c r="D102" s="18" t="n"/>
      <c r="E102" s="18" t="n"/>
    </row>
    <row r="103" ht="15.75" customHeight="1" s="35">
      <c r="A103" s="18" t="n"/>
      <c r="B103" s="18" t="n"/>
      <c r="C103" s="18" t="n"/>
      <c r="D103" s="18" t="n"/>
      <c r="E103" s="18" t="n"/>
    </row>
    <row r="104" ht="15.75" customHeight="1" s="35">
      <c r="A104" s="18" t="n"/>
      <c r="B104" s="18" t="n"/>
      <c r="C104" s="18" t="n"/>
      <c r="D104" s="18" t="n"/>
      <c r="E104" s="18" t="n"/>
    </row>
    <row r="105" ht="15.75" customHeight="1" s="35">
      <c r="A105" s="18" t="n"/>
      <c r="B105" s="18" t="n"/>
      <c r="C105" s="18" t="n"/>
      <c r="D105" s="18" t="n"/>
      <c r="E105" s="18" t="n"/>
    </row>
    <row r="106" ht="15.75" customHeight="1" s="35">
      <c r="A106" s="18" t="n"/>
      <c r="B106" s="18" t="n"/>
      <c r="C106" s="18" t="n"/>
      <c r="D106" s="18" t="n"/>
      <c r="E106" s="18" t="n"/>
    </row>
    <row r="107" ht="15.75" customHeight="1" s="35">
      <c r="A107" s="18" t="n"/>
      <c r="B107" s="18" t="n"/>
      <c r="C107" s="18" t="n"/>
      <c r="D107" s="18" t="n"/>
      <c r="E107" s="18" t="n"/>
    </row>
    <row r="108" ht="15.75" customHeight="1" s="35">
      <c r="A108" s="18" t="n"/>
      <c r="B108" s="18" t="n"/>
      <c r="C108" s="18" t="n"/>
      <c r="D108" s="18" t="n"/>
      <c r="E108" s="18" t="n"/>
    </row>
    <row r="109" ht="15.75" customHeight="1" s="35">
      <c r="A109" s="18" t="n"/>
      <c r="B109" s="18" t="n"/>
      <c r="C109" s="18" t="n"/>
      <c r="D109" s="18" t="n"/>
      <c r="E109" s="18" t="n"/>
    </row>
    <row r="110" ht="15.75" customHeight="1" s="35">
      <c r="A110" s="18" t="n"/>
      <c r="B110" s="18" t="n"/>
      <c r="C110" s="18" t="n"/>
      <c r="D110" s="18" t="n"/>
      <c r="E110" s="18" t="n"/>
    </row>
    <row r="111" ht="15.75" customHeight="1" s="35">
      <c r="A111" s="18" t="n"/>
      <c r="B111" s="18" t="n"/>
      <c r="C111" s="18" t="n"/>
      <c r="D111" s="18" t="n"/>
      <c r="E111" s="18" t="n"/>
    </row>
    <row r="112" ht="15.75" customHeight="1" s="35">
      <c r="A112" s="18" t="n"/>
      <c r="B112" s="18" t="n"/>
      <c r="C112" s="18" t="n"/>
      <c r="D112" s="18" t="n"/>
      <c r="E112" s="18" t="n"/>
    </row>
    <row r="113" ht="15.75" customHeight="1" s="35">
      <c r="A113" s="18" t="n"/>
      <c r="B113" s="18" t="n"/>
      <c r="C113" s="18" t="n"/>
      <c r="D113" s="18" t="n"/>
      <c r="E113" s="18" t="n"/>
    </row>
    <row r="114" ht="15.75" customHeight="1" s="35">
      <c r="A114" s="18" t="n"/>
      <c r="B114" s="18" t="n"/>
      <c r="C114" s="18" t="n"/>
      <c r="D114" s="18" t="n"/>
      <c r="E114" s="18" t="n"/>
    </row>
    <row r="115" ht="15.75" customHeight="1" s="35">
      <c r="A115" s="18" t="n"/>
      <c r="B115" s="18" t="n"/>
      <c r="C115" s="18" t="n"/>
      <c r="D115" s="18" t="n"/>
      <c r="E115" s="18" t="n"/>
    </row>
    <row r="116" ht="15.75" customHeight="1" s="35">
      <c r="A116" s="18" t="n"/>
      <c r="B116" s="18" t="n"/>
      <c r="C116" s="18" t="n"/>
      <c r="D116" s="18" t="n"/>
      <c r="E116" s="18" t="n"/>
    </row>
    <row r="117" ht="15.75" customHeight="1" s="35">
      <c r="A117" s="18" t="n"/>
      <c r="B117" s="18" t="n"/>
      <c r="C117" s="18" t="n"/>
      <c r="D117" s="18" t="n"/>
      <c r="E117" s="18" t="n"/>
    </row>
    <row r="118" ht="15.75" customHeight="1" s="35">
      <c r="A118" s="18" t="n"/>
      <c r="B118" s="18" t="n"/>
      <c r="C118" s="18" t="n"/>
      <c r="D118" s="18" t="n"/>
      <c r="E118" s="18" t="n"/>
    </row>
    <row r="119" ht="15.75" customHeight="1" s="35">
      <c r="A119" s="18" t="n"/>
      <c r="B119" s="18" t="n"/>
      <c r="C119" s="18" t="n"/>
      <c r="D119" s="18" t="n"/>
      <c r="E119" s="18" t="n"/>
    </row>
    <row r="120" ht="15.75" customHeight="1" s="35">
      <c r="A120" s="18" t="n"/>
      <c r="B120" s="18" t="n"/>
      <c r="C120" s="18" t="n"/>
      <c r="D120" s="18" t="n"/>
      <c r="E120" s="18" t="n"/>
    </row>
    <row r="121" ht="15.75" customHeight="1" s="35">
      <c r="A121" s="18" t="n"/>
      <c r="B121" s="18" t="n"/>
      <c r="C121" s="18" t="n"/>
      <c r="D121" s="18" t="n"/>
      <c r="E121" s="18" t="n"/>
    </row>
    <row r="122" ht="15.75" customHeight="1" s="35">
      <c r="A122" s="18" t="n"/>
      <c r="B122" s="18" t="n"/>
      <c r="C122" s="18" t="n"/>
      <c r="D122" s="18" t="n"/>
      <c r="E122" s="18" t="n"/>
    </row>
    <row r="123" ht="15.75" customHeight="1" s="35">
      <c r="A123" s="18" t="n"/>
      <c r="B123" s="18" t="n"/>
      <c r="C123" s="18" t="n"/>
      <c r="D123" s="18" t="n"/>
      <c r="E123" s="18" t="n"/>
    </row>
    <row r="124" ht="15.75" customHeight="1" s="35">
      <c r="A124" s="18" t="n"/>
      <c r="B124" s="18" t="n"/>
      <c r="C124" s="18" t="n"/>
      <c r="D124" s="18" t="n"/>
      <c r="E124" s="18" t="n"/>
    </row>
    <row r="125" ht="15.75" customHeight="1" s="35">
      <c r="A125" s="18" t="n"/>
      <c r="B125" s="18" t="n"/>
      <c r="C125" s="18" t="n"/>
      <c r="D125" s="18" t="n"/>
      <c r="E125" s="18" t="n"/>
    </row>
    <row r="126" ht="15.75" customHeight="1" s="35">
      <c r="A126" s="18" t="n"/>
      <c r="B126" s="18" t="n"/>
      <c r="C126" s="18" t="n"/>
      <c r="D126" s="18" t="n"/>
      <c r="E126" s="18" t="n"/>
    </row>
    <row r="127" ht="15.75" customHeight="1" s="35">
      <c r="A127" s="18" t="n"/>
      <c r="B127" s="18" t="n"/>
      <c r="C127" s="18" t="n"/>
      <c r="D127" s="18" t="n"/>
      <c r="E127" s="18" t="n"/>
    </row>
    <row r="128" ht="15.75" customHeight="1" s="35">
      <c r="A128" s="18" t="n"/>
      <c r="B128" s="18" t="n"/>
      <c r="C128" s="18" t="n"/>
      <c r="D128" s="18" t="n"/>
      <c r="E128" s="18" t="n"/>
    </row>
    <row r="129" ht="15.75" customHeight="1" s="35">
      <c r="A129" s="18" t="n"/>
      <c r="B129" s="18" t="n"/>
      <c r="C129" s="18" t="n"/>
      <c r="D129" s="18" t="n"/>
      <c r="E129" s="18" t="n"/>
    </row>
    <row r="130" ht="15.75" customHeight="1" s="35">
      <c r="A130" s="18" t="n"/>
      <c r="B130" s="18" t="n"/>
      <c r="C130" s="18" t="n"/>
      <c r="D130" s="18" t="n"/>
      <c r="E130" s="18" t="n"/>
    </row>
    <row r="131" ht="15.75" customHeight="1" s="35">
      <c r="A131" s="18" t="n"/>
      <c r="B131" s="18" t="n"/>
      <c r="C131" s="18" t="n"/>
      <c r="D131" s="18" t="n"/>
      <c r="E131" s="18" t="n"/>
    </row>
    <row r="132" ht="15.75" customHeight="1" s="35">
      <c r="A132" s="18" t="n"/>
      <c r="B132" s="18" t="n"/>
      <c r="C132" s="18" t="n"/>
      <c r="D132" s="18" t="n"/>
      <c r="E132" s="18" t="n"/>
    </row>
    <row r="133" ht="15.75" customHeight="1" s="35">
      <c r="A133" s="18" t="n"/>
      <c r="B133" s="18" t="n"/>
      <c r="C133" s="18" t="n"/>
      <c r="D133" s="18" t="n"/>
      <c r="E133" s="18" t="n"/>
    </row>
    <row r="134" ht="15.75" customHeight="1" s="35">
      <c r="A134" s="18" t="n"/>
      <c r="B134" s="18" t="n"/>
      <c r="C134" s="18" t="n"/>
      <c r="D134" s="18" t="n"/>
      <c r="E134" s="18" t="n"/>
    </row>
    <row r="135" ht="15.75" customHeight="1" s="35">
      <c r="A135" s="18" t="n"/>
      <c r="B135" s="18" t="n"/>
      <c r="C135" s="18" t="n"/>
      <c r="D135" s="18" t="n"/>
      <c r="E135" s="18" t="n"/>
    </row>
    <row r="136" ht="15.75" customHeight="1" s="35">
      <c r="A136" s="18" t="n"/>
      <c r="B136" s="18" t="n"/>
      <c r="C136" s="18" t="n"/>
      <c r="D136" s="18" t="n"/>
      <c r="E136" s="18" t="n"/>
    </row>
    <row r="137" ht="15.75" customHeight="1" s="35">
      <c r="A137" s="18" t="n"/>
      <c r="B137" s="18" t="n"/>
      <c r="C137" s="18" t="n"/>
      <c r="D137" s="18" t="n"/>
      <c r="E137" s="18" t="n"/>
    </row>
    <row r="138" ht="15.75" customHeight="1" s="35">
      <c r="A138" s="18" t="n"/>
      <c r="B138" s="18" t="n"/>
      <c r="C138" s="18" t="n"/>
      <c r="D138" s="18" t="n"/>
      <c r="E138" s="18" t="n"/>
    </row>
    <row r="139" ht="15.75" customHeight="1" s="35">
      <c r="A139" s="18" t="n"/>
      <c r="B139" s="18" t="n"/>
      <c r="C139" s="18" t="n"/>
      <c r="D139" s="18" t="n"/>
      <c r="E139" s="18" t="n"/>
    </row>
    <row r="140" ht="15.75" customHeight="1" s="35">
      <c r="A140" s="18" t="n"/>
      <c r="B140" s="18" t="n"/>
      <c r="C140" s="18" t="n"/>
      <c r="D140" s="18" t="n"/>
      <c r="E140" s="18" t="n"/>
    </row>
    <row r="141" ht="15.75" customHeight="1" s="35">
      <c r="A141" s="18" t="n"/>
      <c r="B141" s="18" t="n"/>
      <c r="C141" s="18" t="n"/>
      <c r="D141" s="18" t="n"/>
      <c r="E141" s="18" t="n"/>
    </row>
    <row r="142" ht="15.75" customHeight="1" s="35">
      <c r="A142" s="18" t="n"/>
      <c r="B142" s="18" t="n"/>
      <c r="C142" s="18" t="n"/>
      <c r="D142" s="18" t="n"/>
      <c r="E142" s="18" t="n"/>
    </row>
    <row r="143" ht="15.75" customHeight="1" s="35">
      <c r="A143" s="18" t="n"/>
      <c r="B143" s="18" t="n"/>
      <c r="C143" s="18" t="n"/>
      <c r="D143" s="18" t="n"/>
      <c r="E143" s="18" t="n"/>
    </row>
    <row r="144" ht="15.75" customHeight="1" s="35">
      <c r="A144" s="18" t="n"/>
      <c r="B144" s="18" t="n"/>
      <c r="C144" s="18" t="n"/>
      <c r="D144" s="18" t="n"/>
      <c r="E144" s="18" t="n"/>
    </row>
    <row r="145" ht="15.75" customHeight="1" s="35">
      <c r="A145" s="18" t="n"/>
      <c r="B145" s="18" t="n"/>
      <c r="C145" s="18" t="n"/>
      <c r="D145" s="18" t="n"/>
      <c r="E145" s="18" t="n"/>
    </row>
    <row r="146" ht="15.75" customHeight="1" s="35">
      <c r="A146" s="18" t="n"/>
      <c r="B146" s="18" t="n"/>
      <c r="C146" s="18" t="n"/>
      <c r="D146" s="18" t="n"/>
      <c r="E146" s="18" t="n"/>
    </row>
    <row r="147" ht="15.75" customHeight="1" s="35">
      <c r="A147" s="18" t="n"/>
      <c r="B147" s="18" t="n"/>
      <c r="C147" s="18" t="n"/>
      <c r="D147" s="18" t="n"/>
      <c r="E147" s="18" t="n"/>
    </row>
    <row r="148" ht="15.75" customHeight="1" s="35">
      <c r="A148" s="18" t="n"/>
      <c r="B148" s="18" t="n"/>
      <c r="C148" s="18" t="n"/>
      <c r="D148" s="18" t="n"/>
      <c r="E148" s="18" t="n"/>
    </row>
    <row r="149" ht="15.75" customHeight="1" s="35">
      <c r="A149" s="18" t="n"/>
      <c r="B149" s="18" t="n"/>
      <c r="C149" s="18" t="n"/>
      <c r="D149" s="18" t="n"/>
      <c r="E149" s="18" t="n"/>
    </row>
    <row r="150" ht="15.75" customHeight="1" s="35">
      <c r="A150" s="18" t="n"/>
      <c r="B150" s="18" t="n"/>
      <c r="C150" s="18" t="n"/>
      <c r="D150" s="18" t="n"/>
      <c r="E150" s="18" t="n"/>
    </row>
    <row r="151" ht="15.75" customHeight="1" s="35">
      <c r="A151" s="18" t="n"/>
      <c r="B151" s="18" t="n"/>
      <c r="C151" s="18" t="n"/>
      <c r="D151" s="18" t="n"/>
      <c r="E151" s="18" t="n"/>
    </row>
    <row r="152" ht="15.75" customHeight="1" s="35">
      <c r="A152" s="18" t="n"/>
      <c r="B152" s="18" t="n"/>
      <c r="C152" s="18" t="n"/>
      <c r="D152" s="18" t="n"/>
      <c r="E152" s="18" t="n"/>
    </row>
    <row r="153" ht="15.75" customHeight="1" s="35">
      <c r="A153" s="18" t="n"/>
      <c r="B153" s="18" t="n"/>
      <c r="C153" s="18" t="n"/>
      <c r="D153" s="18" t="n"/>
      <c r="E153" s="18" t="n"/>
    </row>
    <row r="154" ht="15.75" customHeight="1" s="35">
      <c r="A154" s="18" t="n"/>
      <c r="B154" s="18" t="n"/>
      <c r="C154" s="18" t="n"/>
      <c r="D154" s="18" t="n"/>
      <c r="E154" s="18" t="n"/>
    </row>
    <row r="155" ht="15.75" customHeight="1" s="35">
      <c r="A155" s="18" t="n"/>
      <c r="B155" s="18" t="n"/>
      <c r="C155" s="18" t="n"/>
      <c r="D155" s="18" t="n"/>
      <c r="E155" s="18" t="n"/>
    </row>
    <row r="156" ht="15.75" customHeight="1" s="35">
      <c r="A156" s="18" t="n"/>
      <c r="B156" s="18" t="n"/>
      <c r="C156" s="18" t="n"/>
      <c r="D156" s="18" t="n"/>
      <c r="E156" s="18" t="n"/>
    </row>
    <row r="157" ht="15.75" customHeight="1" s="35">
      <c r="A157" s="18" t="n"/>
      <c r="B157" s="18" t="n"/>
      <c r="C157" s="18" t="n"/>
      <c r="D157" s="18" t="n"/>
      <c r="E157" s="18" t="n"/>
    </row>
    <row r="158" ht="15.75" customHeight="1" s="35">
      <c r="A158" s="18" t="n"/>
      <c r="B158" s="18" t="n"/>
      <c r="C158" s="18" t="n"/>
      <c r="D158" s="18" t="n"/>
      <c r="E158" s="18" t="n"/>
    </row>
    <row r="159" ht="15.75" customHeight="1" s="35">
      <c r="A159" s="18" t="n"/>
      <c r="B159" s="18" t="n"/>
      <c r="C159" s="18" t="n"/>
      <c r="D159" s="18" t="n"/>
      <c r="E159" s="18" t="n"/>
    </row>
    <row r="160" ht="15.75" customHeight="1" s="35">
      <c r="A160" s="18" t="n"/>
      <c r="B160" s="18" t="n"/>
      <c r="C160" s="18" t="n"/>
      <c r="D160" s="18" t="n"/>
      <c r="E160" s="18" t="n"/>
    </row>
    <row r="161" ht="15.75" customHeight="1" s="35">
      <c r="A161" s="18" t="n"/>
      <c r="B161" s="18" t="n"/>
      <c r="C161" s="18" t="n"/>
      <c r="D161" s="18" t="n"/>
      <c r="E161" s="18" t="n"/>
    </row>
    <row r="162" ht="15.75" customHeight="1" s="35">
      <c r="A162" s="18" t="n"/>
      <c r="B162" s="18" t="n"/>
      <c r="C162" s="18" t="n"/>
      <c r="D162" s="18" t="n"/>
      <c r="E162" s="18" t="n"/>
    </row>
    <row r="163" ht="15.75" customHeight="1" s="35">
      <c r="A163" s="18" t="n"/>
      <c r="B163" s="18" t="n"/>
      <c r="C163" s="18" t="n"/>
      <c r="D163" s="18" t="n"/>
      <c r="E163" s="18" t="n"/>
    </row>
    <row r="164" ht="15.75" customHeight="1" s="35">
      <c r="A164" s="18" t="n"/>
      <c r="B164" s="18" t="n"/>
      <c r="C164" s="18" t="n"/>
      <c r="D164" s="18" t="n"/>
      <c r="E164" s="18" t="n"/>
    </row>
    <row r="165" ht="15.75" customHeight="1" s="35">
      <c r="A165" s="18" t="n"/>
      <c r="B165" s="18" t="n"/>
      <c r="C165" s="18" t="n"/>
      <c r="D165" s="18" t="n"/>
      <c r="E165" s="18" t="n"/>
    </row>
    <row r="166" ht="15.75" customHeight="1" s="35">
      <c r="A166" s="18" t="n"/>
      <c r="B166" s="18" t="n"/>
      <c r="C166" s="18" t="n"/>
      <c r="D166" s="18" t="n"/>
      <c r="E166" s="18" t="n"/>
    </row>
    <row r="167" ht="15.75" customHeight="1" s="35">
      <c r="A167" s="18" t="n"/>
      <c r="B167" s="18" t="n"/>
      <c r="C167" s="18" t="n"/>
      <c r="D167" s="18" t="n"/>
      <c r="E167" s="18" t="n"/>
    </row>
    <row r="168" ht="15.75" customHeight="1" s="35">
      <c r="A168" s="18" t="n"/>
      <c r="B168" s="18" t="n"/>
      <c r="C168" s="18" t="n"/>
      <c r="D168" s="18" t="n"/>
      <c r="E168" s="18" t="n"/>
    </row>
    <row r="169" ht="15.75" customHeight="1" s="35">
      <c r="A169" s="18" t="n"/>
      <c r="B169" s="18" t="n"/>
      <c r="C169" s="18" t="n"/>
      <c r="D169" s="18" t="n"/>
      <c r="E169" s="18" t="n"/>
    </row>
    <row r="170" ht="15.75" customHeight="1" s="35">
      <c r="A170" s="18" t="n"/>
      <c r="B170" s="18" t="n"/>
      <c r="C170" s="18" t="n"/>
      <c r="D170" s="18" t="n"/>
      <c r="E170" s="18" t="n"/>
    </row>
    <row r="171" ht="15.75" customHeight="1" s="35">
      <c r="A171" s="18" t="n"/>
      <c r="B171" s="18" t="n"/>
      <c r="C171" s="18" t="n"/>
      <c r="D171" s="18" t="n"/>
      <c r="E171" s="18" t="n"/>
    </row>
    <row r="172" ht="15.75" customHeight="1" s="35">
      <c r="A172" s="18" t="n"/>
      <c r="B172" s="18" t="n"/>
      <c r="C172" s="18" t="n"/>
      <c r="D172" s="18" t="n"/>
      <c r="E172" s="18" t="n"/>
    </row>
    <row r="173" ht="15.75" customHeight="1" s="35">
      <c r="A173" s="18" t="n"/>
      <c r="B173" s="18" t="n"/>
      <c r="C173" s="18" t="n"/>
      <c r="D173" s="18" t="n"/>
      <c r="E173" s="18" t="n"/>
    </row>
    <row r="174" ht="15.75" customHeight="1" s="35">
      <c r="A174" s="18" t="n"/>
      <c r="B174" s="18" t="n"/>
      <c r="C174" s="18" t="n"/>
      <c r="D174" s="18" t="n"/>
      <c r="E174" s="18" t="n"/>
    </row>
    <row r="175" ht="15.75" customHeight="1" s="35">
      <c r="A175" s="18" t="n"/>
      <c r="B175" s="18" t="n"/>
      <c r="C175" s="18" t="n"/>
      <c r="D175" s="18" t="n"/>
      <c r="E175" s="18" t="n"/>
    </row>
    <row r="176" ht="15.75" customHeight="1" s="35">
      <c r="A176" s="18" t="n"/>
      <c r="B176" s="18" t="n"/>
      <c r="C176" s="18" t="n"/>
      <c r="D176" s="18" t="n"/>
      <c r="E176" s="18" t="n"/>
    </row>
    <row r="177" ht="15.75" customHeight="1" s="35">
      <c r="A177" s="18" t="n"/>
      <c r="B177" s="18" t="n"/>
      <c r="C177" s="18" t="n"/>
      <c r="D177" s="18" t="n"/>
      <c r="E177" s="18" t="n"/>
    </row>
    <row r="178" ht="15.75" customHeight="1" s="35">
      <c r="A178" s="18" t="n"/>
      <c r="B178" s="18" t="n"/>
      <c r="C178" s="18" t="n"/>
      <c r="D178" s="18" t="n"/>
      <c r="E178" s="18" t="n"/>
    </row>
    <row r="179" ht="15.75" customHeight="1" s="35">
      <c r="A179" s="18" t="n"/>
      <c r="B179" s="18" t="n"/>
      <c r="C179" s="18" t="n"/>
      <c r="D179" s="18" t="n"/>
      <c r="E179" s="18" t="n"/>
    </row>
    <row r="180" ht="15.75" customHeight="1" s="35">
      <c r="A180" s="18" t="n"/>
      <c r="B180" s="18" t="n"/>
      <c r="C180" s="18" t="n"/>
      <c r="D180" s="18" t="n"/>
      <c r="E180" s="18" t="n"/>
    </row>
    <row r="181" ht="15.75" customHeight="1" s="35">
      <c r="A181" s="18" t="n"/>
      <c r="B181" s="18" t="n"/>
      <c r="C181" s="18" t="n"/>
      <c r="D181" s="18" t="n"/>
      <c r="E181" s="18" t="n"/>
    </row>
    <row r="182" ht="15.75" customHeight="1" s="35">
      <c r="A182" s="18" t="n"/>
      <c r="B182" s="18" t="n"/>
      <c r="C182" s="18" t="n"/>
      <c r="D182" s="18" t="n"/>
      <c r="E182" s="18" t="n"/>
    </row>
    <row r="183" ht="15.75" customHeight="1" s="35">
      <c r="A183" s="18" t="n"/>
      <c r="B183" s="18" t="n"/>
      <c r="C183" s="18" t="n"/>
      <c r="D183" s="18" t="n"/>
      <c r="E183" s="18" t="n"/>
    </row>
    <row r="184" ht="15.75" customHeight="1" s="35">
      <c r="A184" s="18" t="n"/>
      <c r="B184" s="18" t="n"/>
      <c r="C184" s="18" t="n"/>
      <c r="D184" s="18" t="n"/>
      <c r="E184" s="18" t="n"/>
    </row>
    <row r="185" ht="15.75" customHeight="1" s="35">
      <c r="A185" s="18" t="n"/>
      <c r="B185" s="18" t="n"/>
      <c r="C185" s="18" t="n"/>
      <c r="D185" s="18" t="n"/>
      <c r="E185" s="18" t="n"/>
    </row>
    <row r="186" ht="15.75" customHeight="1" s="35">
      <c r="A186" s="18" t="n"/>
      <c r="B186" s="18" t="n"/>
      <c r="C186" s="18" t="n"/>
      <c r="D186" s="18" t="n"/>
      <c r="E186" s="18" t="n"/>
    </row>
    <row r="187" ht="15.75" customHeight="1" s="35">
      <c r="A187" s="18" t="n"/>
      <c r="B187" s="18" t="n"/>
      <c r="C187" s="18" t="n"/>
      <c r="D187" s="18" t="n"/>
      <c r="E187" s="18" t="n"/>
    </row>
    <row r="188" ht="15.75" customHeight="1" s="35">
      <c r="A188" s="18" t="n"/>
      <c r="B188" s="18" t="n"/>
      <c r="C188" s="18" t="n"/>
      <c r="D188" s="18" t="n"/>
      <c r="E188" s="18" t="n"/>
    </row>
    <row r="189" ht="15.75" customHeight="1" s="35">
      <c r="A189" s="18" t="n"/>
      <c r="B189" s="18" t="n"/>
      <c r="C189" s="18" t="n"/>
      <c r="D189" s="18" t="n"/>
      <c r="E189" s="18" t="n"/>
    </row>
    <row r="190" ht="15.75" customHeight="1" s="35">
      <c r="A190" s="18" t="n"/>
      <c r="B190" s="18" t="n"/>
      <c r="C190" s="18" t="n"/>
      <c r="D190" s="18" t="n"/>
      <c r="E190" s="18" t="n"/>
    </row>
    <row r="191" ht="15.75" customHeight="1" s="35">
      <c r="A191" s="18" t="n"/>
      <c r="B191" s="18" t="n"/>
      <c r="C191" s="18" t="n"/>
      <c r="D191" s="18" t="n"/>
      <c r="E191" s="18" t="n"/>
    </row>
    <row r="192" ht="15.75" customHeight="1" s="35">
      <c r="A192" s="18" t="n"/>
      <c r="B192" s="18" t="n"/>
      <c r="C192" s="18" t="n"/>
      <c r="D192" s="18" t="n"/>
      <c r="E192" s="18" t="n"/>
    </row>
    <row r="193" ht="15.75" customHeight="1" s="35">
      <c r="A193" s="18" t="n"/>
      <c r="B193" s="18" t="n"/>
      <c r="C193" s="18" t="n"/>
      <c r="D193" s="18" t="n"/>
      <c r="E193" s="18" t="n"/>
    </row>
    <row r="194" ht="15.75" customHeight="1" s="35">
      <c r="A194" s="18" t="n"/>
      <c r="B194" s="18" t="n"/>
      <c r="C194" s="18" t="n"/>
      <c r="D194" s="18" t="n"/>
      <c r="E194" s="18" t="n"/>
    </row>
    <row r="195" ht="15.75" customHeight="1" s="35">
      <c r="A195" s="18" t="n"/>
      <c r="B195" s="18" t="n"/>
      <c r="C195" s="18" t="n"/>
      <c r="D195" s="18" t="n"/>
      <c r="E195" s="18" t="n"/>
    </row>
    <row r="196" ht="15.75" customHeight="1" s="35">
      <c r="A196" s="18" t="n"/>
      <c r="B196" s="18" t="n"/>
      <c r="C196" s="18" t="n"/>
      <c r="D196" s="18" t="n"/>
      <c r="E196" s="18" t="n"/>
    </row>
    <row r="197" ht="15.75" customHeight="1" s="35">
      <c r="A197" s="18" t="n"/>
      <c r="B197" s="18" t="n"/>
      <c r="C197" s="18" t="n"/>
      <c r="D197" s="18" t="n"/>
      <c r="E197" s="18" t="n"/>
    </row>
    <row r="198" ht="15.75" customHeight="1" s="35">
      <c r="A198" s="18" t="n"/>
      <c r="B198" s="18" t="n"/>
      <c r="C198" s="18" t="n"/>
      <c r="D198" s="18" t="n"/>
      <c r="E198" s="18" t="n"/>
    </row>
    <row r="199" ht="15.75" customHeight="1" s="35">
      <c r="A199" s="18" t="n"/>
      <c r="B199" s="18" t="n"/>
      <c r="C199" s="18" t="n"/>
      <c r="D199" s="18" t="n"/>
      <c r="E199" s="18" t="n"/>
    </row>
    <row r="200" ht="15.75" customHeight="1" s="35">
      <c r="A200" s="18" t="n"/>
      <c r="B200" s="18" t="n"/>
      <c r="C200" s="18" t="n"/>
      <c r="D200" s="18" t="n"/>
      <c r="E200" s="18" t="n"/>
    </row>
    <row r="201" ht="15.75" customHeight="1" s="35">
      <c r="A201" s="18" t="n"/>
      <c r="B201" s="18" t="n"/>
      <c r="C201" s="18" t="n"/>
      <c r="D201" s="18" t="n"/>
      <c r="E201" s="18" t="n"/>
    </row>
    <row r="202" ht="15.75" customHeight="1" s="35">
      <c r="A202" s="18" t="n"/>
      <c r="B202" s="18" t="n"/>
      <c r="C202" s="18" t="n"/>
      <c r="D202" s="18" t="n"/>
      <c r="E202" s="18" t="n"/>
    </row>
    <row r="203" ht="15.75" customHeight="1" s="35">
      <c r="A203" s="18" t="n"/>
      <c r="B203" s="18" t="n"/>
      <c r="C203" s="18" t="n"/>
      <c r="D203" s="18" t="n"/>
      <c r="E203" s="18" t="n"/>
    </row>
    <row r="204" ht="15.75" customHeight="1" s="35">
      <c r="A204" s="18" t="n"/>
      <c r="B204" s="18" t="n"/>
      <c r="C204" s="18" t="n"/>
      <c r="D204" s="18" t="n"/>
      <c r="E204" s="18" t="n"/>
    </row>
    <row r="205" ht="15.75" customHeight="1" s="35">
      <c r="A205" s="18" t="n"/>
      <c r="B205" s="18" t="n"/>
      <c r="C205" s="18" t="n"/>
      <c r="D205" s="18" t="n"/>
      <c r="E205" s="18" t="n"/>
    </row>
    <row r="206" ht="15.75" customHeight="1" s="35">
      <c r="A206" s="18" t="n"/>
      <c r="B206" s="18" t="n"/>
      <c r="C206" s="18" t="n"/>
      <c r="D206" s="18" t="n"/>
      <c r="E206" s="18" t="n"/>
    </row>
    <row r="207" ht="15.75" customHeight="1" s="35">
      <c r="A207" s="18" t="n"/>
      <c r="B207" s="18" t="n"/>
      <c r="C207" s="18" t="n"/>
      <c r="D207" s="18" t="n"/>
      <c r="E207" s="18" t="n"/>
    </row>
    <row r="208" ht="15.75" customHeight="1" s="35">
      <c r="A208" s="18" t="n"/>
      <c r="B208" s="18" t="n"/>
      <c r="C208" s="18" t="n"/>
      <c r="D208" s="18" t="n"/>
      <c r="E208" s="18" t="n"/>
    </row>
    <row r="209" ht="15.75" customHeight="1" s="35">
      <c r="A209" s="18" t="n"/>
      <c r="B209" s="18" t="n"/>
      <c r="C209" s="18" t="n"/>
      <c r="D209" s="18" t="n"/>
      <c r="E209" s="18" t="n"/>
    </row>
    <row r="210" ht="15.75" customHeight="1" s="35">
      <c r="A210" s="18" t="n"/>
      <c r="B210" s="18" t="n"/>
      <c r="C210" s="18" t="n"/>
      <c r="D210" s="18" t="n"/>
      <c r="E210" s="18" t="n"/>
    </row>
    <row r="211" ht="15.75" customHeight="1" s="35">
      <c r="A211" s="18" t="n"/>
      <c r="B211" s="18" t="n"/>
      <c r="C211" s="18" t="n"/>
      <c r="D211" s="18" t="n"/>
      <c r="E211" s="18" t="n"/>
    </row>
    <row r="212" ht="15.75" customHeight="1" s="35">
      <c r="A212" s="18" t="n"/>
      <c r="B212" s="18" t="n"/>
      <c r="C212" s="18" t="n"/>
      <c r="D212" s="18" t="n"/>
      <c r="E212" s="18" t="n"/>
    </row>
    <row r="213" ht="15.75" customHeight="1" s="35">
      <c r="A213" s="18" t="n"/>
      <c r="B213" s="18" t="n"/>
      <c r="C213" s="18" t="n"/>
      <c r="D213" s="18" t="n"/>
      <c r="E213" s="18" t="n"/>
    </row>
    <row r="214" ht="15.75" customHeight="1" s="35">
      <c r="A214" s="18" t="n"/>
      <c r="B214" s="18" t="n"/>
      <c r="C214" s="18" t="n"/>
      <c r="D214" s="18" t="n"/>
      <c r="E214" s="18" t="n"/>
    </row>
    <row r="215" ht="15.75" customHeight="1" s="35">
      <c r="A215" s="18" t="n"/>
      <c r="B215" s="18" t="n"/>
      <c r="C215" s="18" t="n"/>
      <c r="D215" s="18" t="n"/>
      <c r="E215" s="18" t="n"/>
    </row>
    <row r="216" ht="15.75" customHeight="1" s="35">
      <c r="A216" s="18" t="n"/>
      <c r="B216" s="18" t="n"/>
      <c r="C216" s="18" t="n"/>
      <c r="D216" s="18" t="n"/>
      <c r="E216" s="18" t="n"/>
    </row>
    <row r="217" ht="15.75" customHeight="1" s="35">
      <c r="A217" s="18" t="n"/>
      <c r="B217" s="18" t="n"/>
      <c r="C217" s="18" t="n"/>
      <c r="D217" s="18" t="n"/>
      <c r="E217" s="18" t="n"/>
    </row>
    <row r="218" ht="15.75" customHeight="1" s="35">
      <c r="A218" s="18" t="n"/>
      <c r="B218" s="18" t="n"/>
      <c r="C218" s="18" t="n"/>
      <c r="D218" s="18" t="n"/>
      <c r="E218" s="18" t="n"/>
    </row>
    <row r="219" ht="15.75" customHeight="1" s="35">
      <c r="A219" s="18" t="n"/>
      <c r="B219" s="18" t="n"/>
      <c r="C219" s="18" t="n"/>
      <c r="D219" s="18" t="n"/>
      <c r="E219" s="18" t="n"/>
    </row>
    <row r="220" ht="15.75" customHeight="1" s="35">
      <c r="A220" s="18" t="n"/>
      <c r="B220" s="18" t="n"/>
      <c r="C220" s="18" t="n"/>
      <c r="D220" s="18" t="n"/>
      <c r="E220" s="18" t="n"/>
    </row>
    <row r="221" ht="15.75" customHeight="1" s="35">
      <c r="A221" s="18" t="n"/>
      <c r="B221" s="18" t="n"/>
      <c r="C221" s="18" t="n"/>
      <c r="D221" s="18" t="n"/>
      <c r="E221" s="18" t="n"/>
    </row>
    <row r="222" ht="15.75" customHeight="1" s="35">
      <c r="A222" s="18" t="n"/>
      <c r="B222" s="18" t="n"/>
      <c r="C222" s="18" t="n"/>
      <c r="D222" s="18" t="n"/>
      <c r="E222" s="18" t="n"/>
    </row>
    <row r="223" ht="15.75" customHeight="1" s="35">
      <c r="A223" s="18" t="n"/>
      <c r="B223" s="18" t="n"/>
      <c r="C223" s="18" t="n"/>
      <c r="D223" s="18" t="n"/>
      <c r="E223" s="18" t="n"/>
    </row>
    <row r="224" ht="15.75" customHeight="1" s="35">
      <c r="A224" s="18" t="n"/>
      <c r="B224" s="18" t="n"/>
      <c r="C224" s="18" t="n"/>
      <c r="D224" s="18" t="n"/>
      <c r="E224" s="18" t="n"/>
    </row>
    <row r="225" ht="15.75" customHeight="1" s="35">
      <c r="A225" s="18" t="n"/>
      <c r="B225" s="18" t="n"/>
      <c r="C225" s="18" t="n"/>
      <c r="D225" s="18" t="n"/>
      <c r="E225" s="18" t="n"/>
    </row>
    <row r="226" ht="15.75" customHeight="1" s="35">
      <c r="A226" s="18" t="n"/>
      <c r="B226" s="18" t="n"/>
      <c r="C226" s="18" t="n"/>
      <c r="D226" s="18" t="n"/>
      <c r="E226" s="18" t="n"/>
    </row>
    <row r="227" ht="15.75" customHeight="1" s="35">
      <c r="A227" s="18" t="n"/>
      <c r="B227" s="18" t="n"/>
      <c r="C227" s="18" t="n"/>
      <c r="D227" s="18" t="n"/>
      <c r="E227" s="18" t="n"/>
    </row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E2"/>
    <mergeCell ref="A1:E1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5" min="1" max="1"/>
    <col width="38" customWidth="1" style="35" min="2" max="2"/>
    <col width="28" customWidth="1" style="35" min="3" max="3"/>
    <col width="60" customWidth="1" style="35" min="4" max="4"/>
    <col width="12" customWidth="1" style="35" min="5" max="5"/>
    <col width="8.710000000000001" customWidth="1" style="35" min="6" max="6"/>
  </cols>
  <sheetData>
    <row r="1" ht="24" customHeight="1" s="35">
      <c r="A1" s="1" t="inlineStr">
        <is>
          <t>Booking priority list</t>
        </is>
      </c>
    </row>
    <row r="2" ht="18" customHeight="1" s="35">
      <c r="A2" s="2" t="inlineStr">
        <is>
          <t>Book in this order · checkbox column for tracking</t>
        </is>
      </c>
    </row>
    <row r="3">
      <c r="A3" s="18" t="n"/>
      <c r="B3" s="18" t="n"/>
      <c r="C3" s="18" t="n"/>
      <c r="D3" s="18" t="n"/>
      <c r="E3" s="18" t="n"/>
    </row>
    <row r="4" ht="15" customHeight="1" s="35">
      <c r="A4" s="4" t="inlineStr">
        <is>
          <t>#</t>
        </is>
      </c>
      <c r="B4" s="4" t="inlineStr">
        <is>
          <t>Item</t>
        </is>
      </c>
      <c r="C4" s="4" t="inlineStr">
        <is>
          <t>Where</t>
        </is>
      </c>
      <c r="D4" s="4" t="inlineStr">
        <is>
          <t>Notes</t>
        </is>
      </c>
      <c r="E4" s="4" t="inlineStr">
        <is>
          <t>Booked?</t>
        </is>
      </c>
    </row>
    <row r="5" ht="31.5" customHeight="1" s="35">
      <c r="A5" s="9" t="n">
        <v>1</v>
      </c>
      <c r="B5" s="9" t="inlineStr">
        <is>
          <t>GOT→MUC flight · Wed 5 Aug 06:30</t>
        </is>
      </c>
      <c r="C5" s="9" t="inlineStr">
        <is>
          <t>SAS / Norwegian / Ryanair</t>
        </is>
      </c>
      <c r="D5" s="9" t="inlineStr">
        <is>
          <t>Single most critical booking. Must land MUC by 09:00.</t>
        </is>
      </c>
      <c r="E5" s="9" t="n"/>
    </row>
    <row r="6" ht="31.5" customHeight="1" s="35">
      <c r="A6" s="17" t="n">
        <v>2</v>
      </c>
      <c r="B6" s="17" t="inlineStr">
        <is>
          <t>Lourdes TGV (both directions)</t>
        </is>
      </c>
      <c r="C6" s="17" t="inlineStr">
        <is>
          <t>sncf-connect.com</t>
        </is>
      </c>
      <c r="D6" s="17" t="inlineStr">
        <is>
          <t>Paris→Lourdes 29 Jul 08:00. Lourdes→Paris 30 Jul 08:00. July peak fills weeks ahead.</t>
        </is>
      </c>
      <c r="E6" s="17" t="n"/>
    </row>
    <row r="7" ht="31.5" customHeight="1" s="35">
      <c r="A7" s="17" t="n">
        <v>3</v>
      </c>
      <c r="B7" s="17" t="inlineStr">
        <is>
          <t>Vatican Museums + Sistine Chapel</t>
        </is>
      </c>
      <c r="C7" s="17" t="inlineStr">
        <is>
          <t>museivaticani.va</t>
        </is>
      </c>
      <c r="D7" s="17" t="inlineStr">
        <is>
          <t>Sells out 3–4 weeks ahead in July. Shoulders + knees covered for St. Peter's.</t>
        </is>
      </c>
      <c r="E7" s="17" t="n"/>
    </row>
    <row r="8" ht="31.5" customHeight="1" s="35">
      <c r="A8" s="17" t="n">
        <v>4</v>
      </c>
      <c r="B8" s="17" t="inlineStr">
        <is>
          <t>Jungfraujoch</t>
        </is>
      </c>
      <c r="C8" s="17" t="inlineStr">
        <is>
          <t>jungfrau.ch</t>
        </is>
      </c>
      <c r="D8" s="17" t="inlineStr">
        <is>
          <t>❌ CANCELLED — itinerary changed (Moléson/Geneva instead of Interlaken)</t>
        </is>
      </c>
      <c r="E8" s="17" t="inlineStr">
        <is>
          <t>—</t>
        </is>
      </c>
    </row>
    <row r="9" ht="31.5" customHeight="1" s="35">
      <c r="A9" s="17" t="n">
        <v>5</v>
      </c>
      <c r="B9" s="17" t="inlineStr">
        <is>
          <t>Uffizi Gallery</t>
        </is>
      </c>
      <c r="C9" s="17" t="inlineStr">
        <is>
          <t>uffizi.it</t>
        </is>
      </c>
      <c r="D9" s="17" t="inlineStr">
        <is>
          <t>No same-day tickets in July. Book from Auckland.</t>
        </is>
      </c>
      <c r="E9" s="17" t="n"/>
    </row>
    <row r="10" ht="31.5" customHeight="1" s="35">
      <c r="A10" s="17" t="n">
        <v>6</v>
      </c>
      <c r="B10" s="17" t="inlineStr">
        <is>
          <t>Gornergrat Railway</t>
        </is>
      </c>
      <c r="C10" s="17" t="inlineStr">
        <is>
          <t>gornergrat.ch</t>
        </is>
      </c>
      <c r="D10" s="17" t="inlineStr">
        <is>
          <t>First train 08:00. Book ahead for July.</t>
        </is>
      </c>
      <c r="E10" s="17" t="n"/>
    </row>
    <row r="11" ht="31.5" customHeight="1" s="35">
      <c r="A11" s="17" t="n">
        <v>7</v>
      </c>
      <c r="B11" s="17" t="inlineStr">
        <is>
          <t>Berlin Reichstag dome</t>
        </is>
      </c>
      <c r="C11" s="17" t="inlineStr">
        <is>
          <t>bundestag.de</t>
        </is>
      </c>
      <c r="D11" s="17" t="inlineStr">
        <is>
          <t>Free but must register 3+ weeks ahead.</t>
        </is>
      </c>
      <c r="E11" s="17" t="n"/>
    </row>
    <row r="12" ht="31.5" customHeight="1" s="35">
      <c r="A12" s="17" t="n">
        <v>8</v>
      </c>
      <c r="B12" s="17" t="inlineStr">
        <is>
          <t>Munich Airport day-use room (5 Aug)</t>
        </is>
      </c>
      <c r="C12" s="17" t="inlineStr">
        <is>
          <t>Novotel MUC / H4 Hotel</t>
        </is>
      </c>
      <c r="D12" s="17" t="inlineStr">
        <is>
          <t>~€60–80. Check-in 09:00, check-out 18:00.</t>
        </is>
      </c>
      <c r="E12" s="17" t="n"/>
    </row>
    <row r="13" ht="31.5" customHeight="1" s="35">
      <c r="A13" s="17" t="n">
        <v>9</v>
      </c>
      <c r="B13" s="17" t="inlineStr">
        <is>
          <t>Rental car vignettes</t>
        </is>
      </c>
      <c r="C13" s="17" t="inlineStr">
        <is>
          <t>At first border crossing</t>
        </is>
      </c>
      <c r="D13" s="17" t="inlineStr">
        <is>
          <t>AT, CH, CZ, HU, SI motorway stickers ~€60 total.</t>
        </is>
      </c>
      <c r="E13" s="17" t="n"/>
    </row>
    <row r="14" ht="31.5" customHeight="1" s="35">
      <c r="A14" s="17" t="n">
        <v>10</v>
      </c>
      <c r="B14" s="17" t="inlineStr">
        <is>
          <t>Thalys Paris→Amsterdam (30 Jul ~14:13)</t>
        </is>
      </c>
      <c r="C14" s="17" t="inlineStr">
        <is>
          <t>thalys.com</t>
        </is>
      </c>
      <c r="D14" s="17" t="inlineStr">
        <is>
          <t>Must connect with Lourdes TGV arriving Montparnasse 13:00. 40min taxi to Gare du Nord.</t>
        </is>
      </c>
      <c r="E14" s="17" t="n"/>
    </row>
    <row r="15" ht="31.5" customHeight="1" s="35">
      <c r="A15" s="17" t="n">
        <v>11</v>
      </c>
      <c r="B15" s="17" t="inlineStr">
        <is>
          <t>Rental car (Munich pickup, drop)</t>
        </is>
      </c>
      <c r="C15" s="17" t="inlineStr">
        <is>
          <t>sixt.com / hertz.com</t>
        </is>
      </c>
      <c r="D15" s="17" t="inlineStr">
        <is>
          <t>Pick up 11 Jul ~09:00 MUC T2. Drop 28 Jul ~12:00 MUC T2.</t>
        </is>
      </c>
      <c r="E15" s="17" t="n"/>
    </row>
    <row r="16" ht="31.5" customHeight="1" s="35">
      <c r="A16" s="17" t="n">
        <v>12</v>
      </c>
      <c r="B16" s="17" t="inlineStr">
        <is>
          <t>Hotels — every other city</t>
        </is>
      </c>
      <c r="C16" s="17" t="inlineStr">
        <is>
          <t>booking.com</t>
        </is>
      </c>
      <c r="D16" s="17" t="inlineStr">
        <is>
          <t>24 separate bookings (some shared multi-night). Build list once flights confirmed.</t>
        </is>
      </c>
      <c r="E16" s="17" t="n"/>
    </row>
    <row r="17" ht="31.5" customHeight="1" s="35">
      <c r="A17" s="17" t="n">
        <v>13</v>
      </c>
      <c r="B17" s="17" t="inlineStr">
        <is>
          <t>Air China seat selection</t>
        </is>
      </c>
      <c r="C17" s="17" t="inlineStr">
        <is>
          <t>airchina.com</t>
        </is>
      </c>
      <c r="D17" s="17" t="inlineStr">
        <is>
          <t>CA784, CA961, CA962, CA783 — pick window seats for stopover photos.</t>
        </is>
      </c>
      <c r="E17" s="17" t="n"/>
    </row>
    <row r="18" ht="31.5" customHeight="1" s="35">
      <c r="A18" s="17" t="n">
        <v>14</v>
      </c>
      <c r="B18" s="17" t="inlineStr">
        <is>
          <t>144-hr China Visa-Free Transit confirmation</t>
        </is>
      </c>
      <c r="C18" s="17" t="inlineStr">
        <is>
          <t>nzembassy.com</t>
        </is>
      </c>
      <c r="D18" s="17" t="inlineStr">
        <is>
          <t>Confirm NZ passport eligibility before AKL departure.</t>
        </is>
      </c>
      <c r="E18" s="17" t="n"/>
    </row>
    <row r="19" ht="31.5" customHeight="1" s="35">
      <c r="A19" s="7" t="n">
        <v>15</v>
      </c>
      <c r="B19" s="7" t="inlineStr">
        <is>
          <t>Burg Altpernstein hotel · 11–13 Jul</t>
        </is>
      </c>
      <c r="C19" s="28" t="inlineStr">
        <is>
          <t>booking.com</t>
        </is>
      </c>
      <c r="D19" s="7" t="inlineStr">
        <is>
          <t>Castle hotel in Upper Austria, 2 nights · 5 guests (2 adults + ages 4, 8, 11)</t>
        </is>
      </c>
      <c r="E19" s="7" t="inlineStr">
        <is>
          <t>✓</t>
        </is>
      </c>
    </row>
    <row r="20" ht="26.25" customHeight="1" s="35">
      <c r="A20" s="7" t="n">
        <v>16</v>
      </c>
      <c r="B20" s="7" t="inlineStr">
        <is>
          <t>Gold Art Apartment Prague · 13–15 Jul</t>
        </is>
      </c>
      <c r="C20" s="28" t="inlineStr">
        <is>
          <t>booking.com</t>
        </is>
      </c>
      <c r="D20" s="7" t="inlineStr">
        <is>
          <t>2 nights · family apartment for 5</t>
        </is>
      </c>
      <c r="E20" s="7" t="inlineStr">
        <is>
          <t>✓</t>
        </is>
      </c>
    </row>
    <row r="21" ht="15" customHeight="1" s="35">
      <c r="A21" s="7" t="n">
        <v>17</v>
      </c>
      <c r="B21" s="7" t="inlineStr">
        <is>
          <t>The Levante Laudon Vienna · 15–16 Jul</t>
        </is>
      </c>
      <c r="C21" s="28" t="inlineStr">
        <is>
          <t>booking.com</t>
        </is>
      </c>
      <c r="D21" s="7" t="inlineStr">
        <is>
          <t>1 night · family room for 5</t>
        </is>
      </c>
      <c r="E21" s="7" t="inlineStr">
        <is>
          <t>✓</t>
        </is>
      </c>
    </row>
    <row r="22" ht="15" customHeight="1" s="35">
      <c r="A22" s="18" t="n"/>
      <c r="B22" s="18" t="n"/>
      <c r="C22" s="18" t="n"/>
      <c r="D22" s="18" t="n"/>
      <c r="E22" s="18" t="n"/>
    </row>
    <row r="23" ht="15" customHeight="1" s="35">
      <c r="A23" s="7" t="n">
        <v>18</v>
      </c>
      <c r="B23" s="7" t="inlineStr">
        <is>
          <t>City Home Budapest · 16–17 Jul</t>
        </is>
      </c>
      <c r="C23" s="28" t="inlineStr">
        <is>
          <t>booking.com</t>
        </is>
      </c>
      <c r="D23" s="7" t="inlineStr">
        <is>
          <t>District VII (Erzsébetváros) · Hársfa utca 51 · underground garage ~€20/night · 22 apartments, family-friendly</t>
        </is>
      </c>
      <c r="E23" s="7" t="inlineStr">
        <is>
          <t>✓</t>
        </is>
      </c>
    </row>
    <row r="24" ht="15" customHeight="1" s="35">
      <c r="A24" s="7" t="n">
        <v>19</v>
      </c>
      <c r="B24" s="7" t="inlineStr">
        <is>
          <t>Trilocale Venezia Mestre · 5min Stazione · 17–19 Jul</t>
        </is>
      </c>
      <c r="C24" s="28" t="inlineStr">
        <is>
          <t>booking.com</t>
        </is>
      </c>
      <c r="D24" s="7" t="inlineStr">
        <is>
          <t>Via Podgora 6, 30171 Venice (Mestre) · 2 nights · 5-min walk to Mestre train station · 10-min train to Venezia Santa Lucia</t>
        </is>
      </c>
      <c r="E24" s="7" t="inlineStr">
        <is>
          <t>✓</t>
        </is>
      </c>
    </row>
    <row r="25" ht="15" customHeight="1" s="35">
      <c r="A25" s="7" t="n">
        <v>20</v>
      </c>
      <c r="B25" s="7" t="inlineStr">
        <is>
          <t>Garden Blue · Florence · 19–20 Jul</t>
        </is>
      </c>
      <c r="C25" s="28" t="inlineStr">
        <is>
          <t>booking.com</t>
        </is>
      </c>
      <c r="D25" s="7" t="inlineStr">
        <is>
          <t>San Gallo district · ~15 min walk to Palazzo Vecchio · 0.9 km to Duomo · near Galleria dell'Accademia · breakfast included · paid on-site parking</t>
        </is>
      </c>
      <c r="E25" s="7" t="inlineStr">
        <is>
          <t>✓</t>
        </is>
      </c>
    </row>
    <row r="26" ht="15" customHeight="1" s="35">
      <c r="A26" s="7" t="n">
        <v>21</v>
      </c>
      <c r="B26" s="7" t="inlineStr">
        <is>
          <t>Auri apartment · Rome · 20–23 Jul</t>
        </is>
      </c>
      <c r="C26" s="28" t="inlineStr">
        <is>
          <t>booking.com</t>
        </is>
      </c>
      <c r="D26" s="7" t="inlineStr">
        <is>
          <t>Aurelio · 18-min walk to Vatican Museums · 2 bedrooms / 2 bathrooms · balcony · fully equipped kitchen · 3 nights · base for Pompeii day + Vatican day</t>
        </is>
      </c>
      <c r="E26" s="7" t="inlineStr">
        <is>
          <t>✓</t>
        </is>
      </c>
    </row>
    <row r="27" ht="15" customHeight="1" s="35">
      <c r="A27" s="29" t="n">
        <v>22</v>
      </c>
      <c r="B27" s="29" t="inlineStr">
        <is>
          <t>Postman 8 · Stalden · 24–25 Jul</t>
        </is>
      </c>
      <c r="C27" s="29" t="inlineStr">
        <is>
          <t>booking.com</t>
        </is>
      </c>
      <c r="D27" s="29" t="inlineStr">
        <is>
          <t>Kirchweg 8, 3922 Stalden · 1 night · walk to Stalden-Saas station for Zermatt train</t>
        </is>
      </c>
      <c r="E27" s="29" t="inlineStr">
        <is>
          <t>✓</t>
        </is>
      </c>
    </row>
    <row r="28" ht="15" customHeight="1" s="35">
      <c r="A28" s="29" t="n">
        <v>23</v>
      </c>
      <c r="B28" s="29" t="inlineStr">
        <is>
          <t>La Pierre à Catillon · Moléson · 25–27 Jul</t>
        </is>
      </c>
      <c r="C28" s="29" t="inlineStr">
        <is>
          <t>booking.com</t>
        </is>
      </c>
      <c r="D28" s="29" t="inlineStr">
        <is>
          <t>Route de Moléson 228, 1663 Moléson-sur-Gruyères · 2 nights · base for Geneva day</t>
        </is>
      </c>
      <c r="E28" s="29" t="inlineStr">
        <is>
          <t>✓</t>
        </is>
      </c>
    </row>
    <row r="29" ht="15.75" customHeight="1" s="35">
      <c r="A29" s="29" t="n">
        <v>24</v>
      </c>
      <c r="B29" s="29" t="inlineStr">
        <is>
          <t>Milan with Rasika Ayya · 23–24 Jul</t>
        </is>
      </c>
      <c r="C29" s="29" t="inlineStr">
        <is>
          <t>Friend stay 💚</t>
        </is>
      </c>
      <c r="D29" s="29" t="inlineStr">
        <is>
          <t>Address TBC · 1 night · no booking required</t>
        </is>
      </c>
      <c r="E29" s="29" t="inlineStr">
        <is>
          <t>💚</t>
        </is>
      </c>
    </row>
    <row r="30" ht="15.75" customHeight="1" s="35">
      <c r="A30" s="29" t="n">
        <v>25</v>
      </c>
      <c r="B30" s="29" t="inlineStr">
        <is>
          <t>Zürich hotel · 27–28 Jul</t>
        </is>
      </c>
      <c r="C30" s="29" t="inlineStr">
        <is>
          <t>booking.com</t>
        </is>
      </c>
      <c r="D30" s="29" t="inlineStr">
        <is>
          <t>1 night · family room for 5 · last hotel before MUC drop</t>
        </is>
      </c>
    </row>
    <row r="31" ht="15.75" customHeight="1" s="35">
      <c r="A31" s="10" t="inlineStr">
        <is>
          <t>PROGRESS</t>
        </is>
      </c>
      <c r="B31" s="10">
        <f>COUNTIF(E5:E30,"✓")</f>
        <v/>
      </c>
      <c r="C31" s="10" t="inlineStr">
        <is>
          <t>of</t>
        </is>
      </c>
      <c r="D31" s="10">
        <f>COUNTA(B5:B30)</f>
        <v/>
      </c>
      <c r="E31" s="30">
        <f>B31/D31</f>
        <v/>
      </c>
    </row>
    <row r="32" ht="15.75" customHeight="1" s="35">
      <c r="A32" s="18" t="n"/>
      <c r="B32" s="2" t="inlineStr">
        <is>
          <t>Tip: type ✓ in column E to track</t>
        </is>
      </c>
      <c r="C32" s="18" t="n"/>
      <c r="D32" s="18" t="n"/>
      <c r="E32" s="18" t="n"/>
    </row>
    <row r="33" ht="15.75" customHeight="1" s="35">
      <c r="A33" s="18" t="n"/>
      <c r="B33" s="18" t="n"/>
      <c r="C33" s="18" t="n"/>
      <c r="D33" s="18" t="n"/>
      <c r="E33" s="18" t="n"/>
    </row>
    <row r="34" ht="15.75" customHeight="1" s="35">
      <c r="A34" s="18" t="n"/>
      <c r="B34" s="18" t="n"/>
      <c r="C34" s="18" t="n"/>
      <c r="D34" s="18" t="n"/>
      <c r="E34" s="18" t="n"/>
    </row>
    <row r="35" ht="15.75" customHeight="1" s="35">
      <c r="A35" s="18" t="n"/>
      <c r="B35" s="18" t="n"/>
      <c r="C35" s="18" t="n"/>
      <c r="D35" s="18" t="n"/>
      <c r="E35" s="18" t="n"/>
    </row>
    <row r="36" ht="15.75" customHeight="1" s="35">
      <c r="A36" s="18" t="n"/>
      <c r="B36" s="18" t="n"/>
      <c r="C36" s="18" t="n"/>
      <c r="D36" s="18" t="n"/>
      <c r="E36" s="18" t="n"/>
    </row>
    <row r="37" ht="15.75" customHeight="1" s="35">
      <c r="A37" s="18" t="n"/>
      <c r="B37" s="18" t="n"/>
      <c r="C37" s="18" t="n"/>
      <c r="D37" s="18" t="n"/>
      <c r="E37" s="18" t="n"/>
    </row>
    <row r="38" ht="15.75" customHeight="1" s="35">
      <c r="A38" s="18" t="n"/>
      <c r="B38" s="18" t="n"/>
      <c r="C38" s="18" t="n"/>
      <c r="D38" s="18" t="n"/>
      <c r="E38" s="18" t="n"/>
    </row>
    <row r="39" ht="15.75" customHeight="1" s="35">
      <c r="A39" s="18" t="n"/>
      <c r="B39" s="18" t="n"/>
      <c r="C39" s="18" t="n"/>
      <c r="D39" s="18" t="n"/>
      <c r="E39" s="18" t="n"/>
    </row>
    <row r="40" ht="15.75" customHeight="1" s="35">
      <c r="A40" s="18" t="n"/>
      <c r="B40" s="18" t="n"/>
      <c r="C40" s="18" t="n"/>
      <c r="D40" s="18" t="n"/>
      <c r="E40" s="18" t="n"/>
    </row>
    <row r="41" ht="15.75" customHeight="1" s="35">
      <c r="A41" s="18" t="n"/>
      <c r="B41" s="18" t="n"/>
      <c r="C41" s="18" t="n"/>
      <c r="D41" s="18" t="n"/>
      <c r="E41" s="18" t="n"/>
    </row>
    <row r="42" ht="15.75" customHeight="1" s="35">
      <c r="A42" s="18" t="n"/>
      <c r="B42" s="18" t="n"/>
      <c r="C42" s="18" t="n"/>
      <c r="D42" s="18" t="n"/>
      <c r="E42" s="18" t="n"/>
    </row>
    <row r="43" ht="15.75" customHeight="1" s="35">
      <c r="A43" s="18" t="n"/>
      <c r="B43" s="18" t="n"/>
      <c r="C43" s="18" t="n"/>
      <c r="D43" s="18" t="n"/>
      <c r="E43" s="18" t="n"/>
    </row>
    <row r="44" ht="15.75" customHeight="1" s="35">
      <c r="A44" s="18" t="n"/>
      <c r="B44" s="18" t="n"/>
      <c r="C44" s="18" t="n"/>
      <c r="D44" s="18" t="n"/>
      <c r="E44" s="18" t="n"/>
    </row>
    <row r="45" ht="15.75" customHeight="1" s="35">
      <c r="A45" s="18" t="n"/>
      <c r="B45" s="18" t="n"/>
      <c r="C45" s="18" t="n"/>
      <c r="D45" s="18" t="n"/>
      <c r="E45" s="18" t="n"/>
    </row>
    <row r="46" ht="15.75" customHeight="1" s="35">
      <c r="A46" s="18" t="n"/>
      <c r="B46" s="18" t="n"/>
      <c r="C46" s="18" t="n"/>
      <c r="D46" s="18" t="n"/>
      <c r="E46" s="18" t="n"/>
    </row>
    <row r="47" ht="15.75" customHeight="1" s="35">
      <c r="A47" s="18" t="n"/>
      <c r="B47" s="18" t="n"/>
      <c r="C47" s="18" t="n"/>
      <c r="D47" s="18" t="n"/>
      <c r="E47" s="18" t="n"/>
    </row>
    <row r="48" ht="15.75" customHeight="1" s="35">
      <c r="A48" s="18" t="n"/>
      <c r="B48" s="18" t="n"/>
      <c r="C48" s="18" t="n"/>
      <c r="D48" s="18" t="n"/>
      <c r="E48" s="18" t="n"/>
    </row>
    <row r="49" ht="15.75" customHeight="1" s="35">
      <c r="A49" s="18" t="n"/>
      <c r="B49" s="18" t="n"/>
      <c r="C49" s="18" t="n"/>
      <c r="D49" s="18" t="n"/>
      <c r="E49" s="18" t="n"/>
    </row>
    <row r="50" ht="15.75" customHeight="1" s="35">
      <c r="A50" s="18" t="n"/>
      <c r="B50" s="18" t="n"/>
      <c r="C50" s="18" t="n"/>
      <c r="D50" s="18" t="n"/>
      <c r="E50" s="18" t="n"/>
    </row>
    <row r="51" ht="15.75" customHeight="1" s="35">
      <c r="A51" s="18" t="n"/>
      <c r="B51" s="18" t="n"/>
      <c r="C51" s="18" t="n"/>
      <c r="D51" s="18" t="n"/>
      <c r="E51" s="18" t="n"/>
    </row>
    <row r="52" ht="15.75" customHeight="1" s="35">
      <c r="A52" s="18" t="n"/>
      <c r="B52" s="18" t="n"/>
      <c r="C52" s="18" t="n"/>
      <c r="D52" s="18" t="n"/>
      <c r="E52" s="18" t="n"/>
    </row>
    <row r="53" ht="15.75" customHeight="1" s="35">
      <c r="A53" s="18" t="n"/>
      <c r="B53" s="18" t="n"/>
      <c r="C53" s="18" t="n"/>
      <c r="D53" s="18" t="n"/>
      <c r="E53" s="18" t="n"/>
    </row>
    <row r="54" ht="15.75" customHeight="1" s="35">
      <c r="A54" s="18" t="n"/>
      <c r="B54" s="18" t="n"/>
      <c r="C54" s="18" t="n"/>
      <c r="D54" s="18" t="n"/>
      <c r="E54" s="18" t="n"/>
    </row>
    <row r="55" ht="15.75" customHeight="1" s="35">
      <c r="A55" s="18" t="n"/>
      <c r="B55" s="18" t="n"/>
      <c r="C55" s="18" t="n"/>
      <c r="D55" s="18" t="n"/>
      <c r="E55" s="18" t="n"/>
    </row>
    <row r="56" ht="15.75" customHeight="1" s="35">
      <c r="A56" s="18" t="n"/>
      <c r="B56" s="18" t="n"/>
      <c r="C56" s="18" t="n"/>
      <c r="D56" s="18" t="n"/>
      <c r="E56" s="18" t="n"/>
    </row>
    <row r="57" ht="15.75" customHeight="1" s="35">
      <c r="A57" s="18" t="n"/>
      <c r="B57" s="18" t="n"/>
      <c r="C57" s="18" t="n"/>
      <c r="D57" s="18" t="n"/>
      <c r="E57" s="18" t="n"/>
    </row>
    <row r="58" ht="15.75" customHeight="1" s="35">
      <c r="A58" s="18" t="n"/>
      <c r="B58" s="18" t="n"/>
      <c r="C58" s="18" t="n"/>
      <c r="D58" s="18" t="n"/>
      <c r="E58" s="18" t="n"/>
    </row>
    <row r="59" ht="15.75" customHeight="1" s="35">
      <c r="A59" s="18" t="n"/>
      <c r="B59" s="18" t="n"/>
      <c r="C59" s="18" t="n"/>
      <c r="D59" s="18" t="n"/>
      <c r="E59" s="18" t="n"/>
    </row>
    <row r="60" ht="15.75" customHeight="1" s="35">
      <c r="A60" s="18" t="n"/>
      <c r="B60" s="18" t="n"/>
      <c r="C60" s="18" t="n"/>
      <c r="D60" s="18" t="n"/>
      <c r="E60" s="18" t="n"/>
    </row>
    <row r="61" ht="15.75" customHeight="1" s="35">
      <c r="A61" s="18" t="n"/>
      <c r="B61" s="18" t="n"/>
      <c r="C61" s="18" t="n"/>
      <c r="D61" s="18" t="n"/>
      <c r="E61" s="18" t="n"/>
    </row>
    <row r="62" ht="15.75" customHeight="1" s="35">
      <c r="A62" s="18" t="n"/>
      <c r="B62" s="18" t="n"/>
      <c r="C62" s="18" t="n"/>
      <c r="D62" s="18" t="n"/>
      <c r="E62" s="18" t="n"/>
    </row>
    <row r="63" ht="15.75" customHeight="1" s="35">
      <c r="A63" s="18" t="n"/>
      <c r="B63" s="18" t="n"/>
      <c r="C63" s="18" t="n"/>
      <c r="D63" s="18" t="n"/>
      <c r="E63" s="18" t="n"/>
    </row>
    <row r="64" ht="15.75" customHeight="1" s="35">
      <c r="A64" s="18" t="n"/>
      <c r="B64" s="18" t="n"/>
      <c r="C64" s="18" t="n"/>
      <c r="D64" s="18" t="n"/>
      <c r="E64" s="18" t="n"/>
    </row>
    <row r="65" ht="15.75" customHeight="1" s="35">
      <c r="A65" s="18" t="n"/>
      <c r="B65" s="18" t="n"/>
      <c r="C65" s="18" t="n"/>
      <c r="D65" s="18" t="n"/>
      <c r="E65" s="18" t="n"/>
    </row>
    <row r="66" ht="15.75" customHeight="1" s="35">
      <c r="A66" s="18" t="n"/>
      <c r="B66" s="18" t="n"/>
      <c r="C66" s="18" t="n"/>
      <c r="D66" s="18" t="n"/>
      <c r="E66" s="18" t="n"/>
    </row>
    <row r="67" ht="15.75" customHeight="1" s="35">
      <c r="A67" s="18" t="n"/>
      <c r="B67" s="18" t="n"/>
      <c r="C67" s="18" t="n"/>
      <c r="D67" s="18" t="n"/>
      <c r="E67" s="18" t="n"/>
    </row>
    <row r="68" ht="15.75" customHeight="1" s="35">
      <c r="A68" s="18" t="n"/>
      <c r="B68" s="18" t="n"/>
      <c r="C68" s="18" t="n"/>
      <c r="D68" s="18" t="n"/>
      <c r="E68" s="18" t="n"/>
    </row>
    <row r="69" ht="15.75" customHeight="1" s="35">
      <c r="A69" s="18" t="n"/>
      <c r="B69" s="18" t="n"/>
      <c r="C69" s="18" t="n"/>
      <c r="D69" s="18" t="n"/>
      <c r="E69" s="18" t="n"/>
    </row>
    <row r="70" ht="15.75" customHeight="1" s="35">
      <c r="A70" s="18" t="n"/>
      <c r="B70" s="18" t="n"/>
      <c r="C70" s="18" t="n"/>
      <c r="D70" s="18" t="n"/>
      <c r="E70" s="18" t="n"/>
    </row>
    <row r="71" ht="15.75" customHeight="1" s="35">
      <c r="A71" s="18" t="n"/>
      <c r="B71" s="18" t="n"/>
      <c r="C71" s="18" t="n"/>
      <c r="D71" s="18" t="n"/>
      <c r="E71" s="18" t="n"/>
    </row>
    <row r="72" ht="15.75" customHeight="1" s="35">
      <c r="A72" s="18" t="n"/>
      <c r="B72" s="18" t="n"/>
      <c r="C72" s="18" t="n"/>
      <c r="D72" s="18" t="n"/>
      <c r="E72" s="18" t="n"/>
    </row>
    <row r="73" ht="15.75" customHeight="1" s="35">
      <c r="A73" s="18" t="n"/>
      <c r="B73" s="18" t="n"/>
      <c r="C73" s="18" t="n"/>
      <c r="D73" s="18" t="n"/>
      <c r="E73" s="18" t="n"/>
    </row>
    <row r="74" ht="15.75" customHeight="1" s="35">
      <c r="A74" s="18" t="n"/>
      <c r="B74" s="18" t="n"/>
      <c r="C74" s="18" t="n"/>
      <c r="D74" s="18" t="n"/>
      <c r="E74" s="18" t="n"/>
    </row>
    <row r="75" ht="15.75" customHeight="1" s="35">
      <c r="A75" s="18" t="n"/>
      <c r="B75" s="18" t="n"/>
      <c r="C75" s="18" t="n"/>
      <c r="D75" s="18" t="n"/>
      <c r="E75" s="18" t="n"/>
    </row>
    <row r="76" ht="15.75" customHeight="1" s="35">
      <c r="A76" s="18" t="n"/>
      <c r="B76" s="18" t="n"/>
      <c r="C76" s="18" t="n"/>
      <c r="D76" s="18" t="n"/>
      <c r="E76" s="18" t="n"/>
    </row>
    <row r="77" ht="15.75" customHeight="1" s="35">
      <c r="A77" s="18" t="n"/>
      <c r="B77" s="18" t="n"/>
      <c r="C77" s="18" t="n"/>
      <c r="D77" s="18" t="n"/>
      <c r="E77" s="18" t="n"/>
    </row>
    <row r="78" ht="15.75" customHeight="1" s="35">
      <c r="A78" s="18" t="n"/>
      <c r="B78" s="18" t="n"/>
      <c r="C78" s="18" t="n"/>
      <c r="D78" s="18" t="n"/>
      <c r="E78" s="18" t="n"/>
    </row>
    <row r="79" ht="15.75" customHeight="1" s="35">
      <c r="A79" s="18" t="n"/>
      <c r="B79" s="18" t="n"/>
      <c r="C79" s="18" t="n"/>
      <c r="D79" s="18" t="n"/>
      <c r="E79" s="18" t="n"/>
    </row>
    <row r="80" ht="15.75" customHeight="1" s="35">
      <c r="A80" s="18" t="n"/>
      <c r="B80" s="18" t="n"/>
      <c r="C80" s="18" t="n"/>
      <c r="D80" s="18" t="n"/>
      <c r="E80" s="18" t="n"/>
    </row>
    <row r="81" ht="15.75" customHeight="1" s="35">
      <c r="A81" s="18" t="n"/>
      <c r="B81" s="18" t="n"/>
      <c r="C81" s="18" t="n"/>
      <c r="D81" s="18" t="n"/>
      <c r="E81" s="18" t="n"/>
    </row>
    <row r="82" ht="15.75" customHeight="1" s="35">
      <c r="A82" s="18" t="n"/>
      <c r="B82" s="18" t="n"/>
      <c r="C82" s="18" t="n"/>
      <c r="D82" s="18" t="n"/>
      <c r="E82" s="18" t="n"/>
    </row>
    <row r="83" ht="15.75" customHeight="1" s="35">
      <c r="A83" s="18" t="n"/>
      <c r="B83" s="18" t="n"/>
      <c r="C83" s="18" t="n"/>
      <c r="D83" s="18" t="n"/>
      <c r="E83" s="18" t="n"/>
    </row>
    <row r="84" ht="15.75" customHeight="1" s="35">
      <c r="A84" s="18" t="n"/>
      <c r="B84" s="18" t="n"/>
      <c r="C84" s="18" t="n"/>
      <c r="D84" s="18" t="n"/>
      <c r="E84" s="18" t="n"/>
    </row>
    <row r="85" ht="15.75" customHeight="1" s="35">
      <c r="A85" s="18" t="n"/>
      <c r="B85" s="18" t="n"/>
      <c r="C85" s="18" t="n"/>
      <c r="D85" s="18" t="n"/>
      <c r="E85" s="18" t="n"/>
    </row>
    <row r="86" ht="15.75" customHeight="1" s="35">
      <c r="A86" s="18" t="n"/>
      <c r="B86" s="18" t="n"/>
      <c r="C86" s="18" t="n"/>
      <c r="D86" s="18" t="n"/>
      <c r="E86" s="18" t="n"/>
    </row>
    <row r="87" ht="15.75" customHeight="1" s="35">
      <c r="A87" s="18" t="n"/>
      <c r="B87" s="18" t="n"/>
      <c r="C87" s="18" t="n"/>
      <c r="D87" s="18" t="n"/>
      <c r="E87" s="18" t="n"/>
    </row>
    <row r="88" ht="15.75" customHeight="1" s="35">
      <c r="A88" s="18" t="n"/>
      <c r="B88" s="18" t="n"/>
      <c r="C88" s="18" t="n"/>
      <c r="D88" s="18" t="n"/>
      <c r="E88" s="18" t="n"/>
    </row>
    <row r="89" ht="15.75" customHeight="1" s="35">
      <c r="A89" s="18" t="n"/>
      <c r="B89" s="18" t="n"/>
      <c r="C89" s="18" t="n"/>
      <c r="D89" s="18" t="n"/>
      <c r="E89" s="18" t="n"/>
    </row>
    <row r="90" ht="15.75" customHeight="1" s="35">
      <c r="A90" s="18" t="n"/>
      <c r="B90" s="18" t="n"/>
      <c r="C90" s="18" t="n"/>
      <c r="D90" s="18" t="n"/>
      <c r="E90" s="18" t="n"/>
    </row>
    <row r="91" ht="15.75" customHeight="1" s="35">
      <c r="A91" s="18" t="n"/>
      <c r="B91" s="18" t="n"/>
      <c r="C91" s="18" t="n"/>
      <c r="D91" s="18" t="n"/>
      <c r="E91" s="18" t="n"/>
    </row>
    <row r="92" ht="15.75" customHeight="1" s="35">
      <c r="A92" s="18" t="n"/>
      <c r="B92" s="18" t="n"/>
      <c r="C92" s="18" t="n"/>
      <c r="D92" s="18" t="n"/>
      <c r="E92" s="18" t="n"/>
    </row>
    <row r="93" ht="15.75" customHeight="1" s="35">
      <c r="A93" s="18" t="n"/>
      <c r="B93" s="18" t="n"/>
      <c r="C93" s="18" t="n"/>
      <c r="D93" s="18" t="n"/>
      <c r="E93" s="18" t="n"/>
    </row>
    <row r="94" ht="15.75" customHeight="1" s="35">
      <c r="A94" s="18" t="n"/>
      <c r="B94" s="18" t="n"/>
      <c r="C94" s="18" t="n"/>
      <c r="D94" s="18" t="n"/>
      <c r="E94" s="18" t="n"/>
    </row>
    <row r="95" ht="15.75" customHeight="1" s="35">
      <c r="A95" s="18" t="n"/>
      <c r="B95" s="18" t="n"/>
      <c r="C95" s="18" t="n"/>
      <c r="D95" s="18" t="n"/>
      <c r="E95" s="18" t="n"/>
    </row>
    <row r="96" ht="15.75" customHeight="1" s="35">
      <c r="A96" s="18" t="n"/>
      <c r="B96" s="18" t="n"/>
      <c r="C96" s="18" t="n"/>
      <c r="D96" s="18" t="n"/>
      <c r="E96" s="18" t="n"/>
    </row>
    <row r="97" ht="15.75" customHeight="1" s="35">
      <c r="A97" s="18" t="n"/>
      <c r="B97" s="18" t="n"/>
      <c r="C97" s="18" t="n"/>
      <c r="D97" s="18" t="n"/>
      <c r="E97" s="18" t="n"/>
    </row>
    <row r="98" ht="15.75" customHeight="1" s="35">
      <c r="A98" s="18" t="n"/>
      <c r="B98" s="18" t="n"/>
      <c r="C98" s="18" t="n"/>
      <c r="D98" s="18" t="n"/>
      <c r="E98" s="18" t="n"/>
    </row>
    <row r="99" ht="15.75" customHeight="1" s="35">
      <c r="A99" s="18" t="n"/>
      <c r="B99" s="18" t="n"/>
      <c r="C99" s="18" t="n"/>
      <c r="D99" s="18" t="n"/>
      <c r="E99" s="18" t="n"/>
    </row>
    <row r="100" ht="15.75" customHeight="1" s="35">
      <c r="A100" s="18" t="n"/>
      <c r="B100" s="18" t="n"/>
      <c r="C100" s="18" t="n"/>
      <c r="D100" s="18" t="n"/>
      <c r="E100" s="18" t="n"/>
    </row>
    <row r="101" ht="15.75" customHeight="1" s="35">
      <c r="A101" s="18" t="n"/>
      <c r="B101" s="18" t="n"/>
      <c r="C101" s="18" t="n"/>
      <c r="D101" s="18" t="n"/>
      <c r="E101" s="18" t="n"/>
    </row>
    <row r="102" ht="15.75" customHeight="1" s="35">
      <c r="A102" s="18" t="n"/>
      <c r="B102" s="18" t="n"/>
      <c r="C102" s="18" t="n"/>
      <c r="D102" s="18" t="n"/>
      <c r="E102" s="18" t="n"/>
    </row>
    <row r="103" ht="15.75" customHeight="1" s="35">
      <c r="A103" s="18" t="n"/>
      <c r="B103" s="18" t="n"/>
      <c r="C103" s="18" t="n"/>
      <c r="D103" s="18" t="n"/>
      <c r="E103" s="18" t="n"/>
    </row>
    <row r="104" ht="15.75" customHeight="1" s="35">
      <c r="A104" s="18" t="n"/>
      <c r="B104" s="18" t="n"/>
      <c r="C104" s="18" t="n"/>
      <c r="D104" s="18" t="n"/>
      <c r="E104" s="18" t="n"/>
    </row>
    <row r="105" ht="15.75" customHeight="1" s="35">
      <c r="A105" s="18" t="n"/>
      <c r="B105" s="18" t="n"/>
      <c r="C105" s="18" t="n"/>
      <c r="D105" s="18" t="n"/>
      <c r="E105" s="18" t="n"/>
    </row>
    <row r="106" ht="15.75" customHeight="1" s="35">
      <c r="A106" s="18" t="n"/>
      <c r="B106" s="18" t="n"/>
      <c r="C106" s="18" t="n"/>
      <c r="D106" s="18" t="n"/>
      <c r="E106" s="18" t="n"/>
    </row>
    <row r="107" ht="15.75" customHeight="1" s="35">
      <c r="A107" s="18" t="n"/>
      <c r="B107" s="18" t="n"/>
      <c r="C107" s="18" t="n"/>
      <c r="D107" s="18" t="n"/>
      <c r="E107" s="18" t="n"/>
    </row>
    <row r="108" ht="15.75" customHeight="1" s="35">
      <c r="A108" s="18" t="n"/>
      <c r="B108" s="18" t="n"/>
      <c r="C108" s="18" t="n"/>
      <c r="D108" s="18" t="n"/>
      <c r="E108" s="18" t="n"/>
    </row>
    <row r="109" ht="15.75" customHeight="1" s="35">
      <c r="A109" s="18" t="n"/>
      <c r="B109" s="18" t="n"/>
      <c r="C109" s="18" t="n"/>
      <c r="D109" s="18" t="n"/>
      <c r="E109" s="18" t="n"/>
    </row>
    <row r="110" ht="15.75" customHeight="1" s="35">
      <c r="A110" s="18" t="n"/>
      <c r="B110" s="18" t="n"/>
      <c r="C110" s="18" t="n"/>
      <c r="D110" s="18" t="n"/>
      <c r="E110" s="18" t="n"/>
    </row>
    <row r="111" ht="15.75" customHeight="1" s="35">
      <c r="A111" s="18" t="n"/>
      <c r="B111" s="18" t="n"/>
      <c r="C111" s="18" t="n"/>
      <c r="D111" s="18" t="n"/>
      <c r="E111" s="18" t="n"/>
    </row>
    <row r="112" ht="15.75" customHeight="1" s="35">
      <c r="A112" s="18" t="n"/>
      <c r="B112" s="18" t="n"/>
      <c r="C112" s="18" t="n"/>
      <c r="D112" s="18" t="n"/>
      <c r="E112" s="18" t="n"/>
    </row>
    <row r="113" ht="15.75" customHeight="1" s="35">
      <c r="A113" s="18" t="n"/>
      <c r="B113" s="18" t="n"/>
      <c r="C113" s="18" t="n"/>
      <c r="D113" s="18" t="n"/>
      <c r="E113" s="18" t="n"/>
    </row>
    <row r="114" ht="15.75" customHeight="1" s="35">
      <c r="A114" s="18" t="n"/>
      <c r="B114" s="18" t="n"/>
      <c r="C114" s="18" t="n"/>
      <c r="D114" s="18" t="n"/>
      <c r="E114" s="18" t="n"/>
    </row>
    <row r="115" ht="15.75" customHeight="1" s="35">
      <c r="A115" s="18" t="n"/>
      <c r="B115" s="18" t="n"/>
      <c r="C115" s="18" t="n"/>
      <c r="D115" s="18" t="n"/>
      <c r="E115" s="18" t="n"/>
    </row>
    <row r="116" ht="15.75" customHeight="1" s="35">
      <c r="A116" s="18" t="n"/>
      <c r="B116" s="18" t="n"/>
      <c r="C116" s="18" t="n"/>
      <c r="D116" s="18" t="n"/>
      <c r="E116" s="18" t="n"/>
    </row>
    <row r="117" ht="15.75" customHeight="1" s="35">
      <c r="A117" s="18" t="n"/>
      <c r="B117" s="18" t="n"/>
      <c r="C117" s="18" t="n"/>
      <c r="D117" s="18" t="n"/>
      <c r="E117" s="18" t="n"/>
    </row>
    <row r="118" ht="15.75" customHeight="1" s="35">
      <c r="A118" s="18" t="n"/>
      <c r="B118" s="18" t="n"/>
      <c r="C118" s="18" t="n"/>
      <c r="D118" s="18" t="n"/>
      <c r="E118" s="18" t="n"/>
    </row>
    <row r="119" ht="15.75" customHeight="1" s="35">
      <c r="A119" s="18" t="n"/>
      <c r="B119" s="18" t="n"/>
      <c r="C119" s="18" t="n"/>
      <c r="D119" s="18" t="n"/>
      <c r="E119" s="18" t="n"/>
    </row>
    <row r="120" ht="15.75" customHeight="1" s="35">
      <c r="A120" s="18" t="n"/>
      <c r="B120" s="18" t="n"/>
      <c r="C120" s="18" t="n"/>
      <c r="D120" s="18" t="n"/>
      <c r="E120" s="18" t="n"/>
    </row>
    <row r="121" ht="15.75" customHeight="1" s="35">
      <c r="A121" s="18" t="n"/>
      <c r="B121" s="18" t="n"/>
      <c r="C121" s="18" t="n"/>
      <c r="D121" s="18" t="n"/>
      <c r="E121" s="18" t="n"/>
    </row>
    <row r="122" ht="15.75" customHeight="1" s="35">
      <c r="A122" s="18" t="n"/>
      <c r="B122" s="18" t="n"/>
      <c r="C122" s="18" t="n"/>
      <c r="D122" s="18" t="n"/>
      <c r="E122" s="18" t="n"/>
    </row>
    <row r="123" ht="15.75" customHeight="1" s="35">
      <c r="A123" s="18" t="n"/>
      <c r="B123" s="18" t="n"/>
      <c r="C123" s="18" t="n"/>
      <c r="D123" s="18" t="n"/>
      <c r="E123" s="18" t="n"/>
    </row>
    <row r="124" ht="15.75" customHeight="1" s="35">
      <c r="A124" s="18" t="n"/>
      <c r="B124" s="18" t="n"/>
      <c r="C124" s="18" t="n"/>
      <c r="D124" s="18" t="n"/>
      <c r="E124" s="18" t="n"/>
    </row>
    <row r="125" ht="15.75" customHeight="1" s="35">
      <c r="A125" s="18" t="n"/>
      <c r="B125" s="18" t="n"/>
      <c r="C125" s="18" t="n"/>
      <c r="D125" s="18" t="n"/>
      <c r="E125" s="18" t="n"/>
    </row>
    <row r="126" ht="15.75" customHeight="1" s="35">
      <c r="A126" s="18" t="n"/>
      <c r="B126" s="18" t="n"/>
      <c r="C126" s="18" t="n"/>
      <c r="D126" s="18" t="n"/>
      <c r="E126" s="18" t="n"/>
    </row>
    <row r="127" ht="15.75" customHeight="1" s="35">
      <c r="A127" s="18" t="n"/>
      <c r="B127" s="18" t="n"/>
      <c r="C127" s="18" t="n"/>
      <c r="D127" s="18" t="n"/>
      <c r="E127" s="18" t="n"/>
    </row>
    <row r="128" ht="15.75" customHeight="1" s="35">
      <c r="A128" s="18" t="n"/>
      <c r="B128" s="18" t="n"/>
      <c r="C128" s="18" t="n"/>
      <c r="D128" s="18" t="n"/>
      <c r="E128" s="18" t="n"/>
    </row>
    <row r="129" ht="15.75" customHeight="1" s="35">
      <c r="A129" s="18" t="n"/>
      <c r="B129" s="18" t="n"/>
      <c r="C129" s="18" t="n"/>
      <c r="D129" s="18" t="n"/>
      <c r="E129" s="18" t="n"/>
    </row>
    <row r="130" ht="15.75" customHeight="1" s="35">
      <c r="A130" s="18" t="n"/>
      <c r="B130" s="18" t="n"/>
      <c r="C130" s="18" t="n"/>
      <c r="D130" s="18" t="n"/>
      <c r="E130" s="18" t="n"/>
    </row>
    <row r="131" ht="15.75" customHeight="1" s="35">
      <c r="A131" s="18" t="n"/>
      <c r="B131" s="18" t="n"/>
      <c r="C131" s="18" t="n"/>
      <c r="D131" s="18" t="n"/>
      <c r="E131" s="18" t="n"/>
    </row>
    <row r="132" ht="15.75" customHeight="1" s="35">
      <c r="A132" s="18" t="n"/>
      <c r="B132" s="18" t="n"/>
      <c r="C132" s="18" t="n"/>
      <c r="D132" s="18" t="n"/>
      <c r="E132" s="18" t="n"/>
    </row>
    <row r="133" ht="15.75" customHeight="1" s="35">
      <c r="A133" s="18" t="n"/>
      <c r="B133" s="18" t="n"/>
      <c r="C133" s="18" t="n"/>
      <c r="D133" s="18" t="n"/>
      <c r="E133" s="18" t="n"/>
    </row>
    <row r="134" ht="15.75" customHeight="1" s="35">
      <c r="A134" s="18" t="n"/>
      <c r="B134" s="18" t="n"/>
      <c r="C134" s="18" t="n"/>
      <c r="D134" s="18" t="n"/>
      <c r="E134" s="18" t="n"/>
    </row>
    <row r="135" ht="15.75" customHeight="1" s="35">
      <c r="A135" s="18" t="n"/>
      <c r="B135" s="18" t="n"/>
      <c r="C135" s="18" t="n"/>
      <c r="D135" s="18" t="n"/>
      <c r="E135" s="18" t="n"/>
    </row>
    <row r="136" ht="15.75" customHeight="1" s="35">
      <c r="A136" s="18" t="n"/>
      <c r="B136" s="18" t="n"/>
      <c r="C136" s="18" t="n"/>
      <c r="D136" s="18" t="n"/>
      <c r="E136" s="18" t="n"/>
    </row>
    <row r="137" ht="15.75" customHeight="1" s="35">
      <c r="A137" s="18" t="n"/>
      <c r="B137" s="18" t="n"/>
      <c r="C137" s="18" t="n"/>
      <c r="D137" s="18" t="n"/>
      <c r="E137" s="18" t="n"/>
    </row>
    <row r="138" ht="15.75" customHeight="1" s="35">
      <c r="A138" s="18" t="n"/>
      <c r="B138" s="18" t="n"/>
      <c r="C138" s="18" t="n"/>
      <c r="D138" s="18" t="n"/>
      <c r="E138" s="18" t="n"/>
    </row>
    <row r="139" ht="15.75" customHeight="1" s="35">
      <c r="A139" s="18" t="n"/>
      <c r="B139" s="18" t="n"/>
      <c r="C139" s="18" t="n"/>
      <c r="D139" s="18" t="n"/>
      <c r="E139" s="18" t="n"/>
    </row>
    <row r="140" ht="15.75" customHeight="1" s="35">
      <c r="A140" s="18" t="n"/>
      <c r="B140" s="18" t="n"/>
      <c r="C140" s="18" t="n"/>
      <c r="D140" s="18" t="n"/>
      <c r="E140" s="18" t="n"/>
    </row>
    <row r="141" ht="15.75" customHeight="1" s="35">
      <c r="A141" s="18" t="n"/>
      <c r="B141" s="18" t="n"/>
      <c r="C141" s="18" t="n"/>
      <c r="D141" s="18" t="n"/>
      <c r="E141" s="18" t="n"/>
    </row>
    <row r="142" ht="15.75" customHeight="1" s="35">
      <c r="A142" s="18" t="n"/>
      <c r="B142" s="18" t="n"/>
      <c r="C142" s="18" t="n"/>
      <c r="D142" s="18" t="n"/>
      <c r="E142" s="18" t="n"/>
    </row>
    <row r="143" ht="15.75" customHeight="1" s="35">
      <c r="A143" s="18" t="n"/>
      <c r="B143" s="18" t="n"/>
      <c r="C143" s="18" t="n"/>
      <c r="D143" s="18" t="n"/>
      <c r="E143" s="18" t="n"/>
    </row>
    <row r="144" ht="15.75" customHeight="1" s="35">
      <c r="A144" s="18" t="n"/>
      <c r="B144" s="18" t="n"/>
      <c r="C144" s="18" t="n"/>
      <c r="D144" s="18" t="n"/>
      <c r="E144" s="18" t="n"/>
    </row>
    <row r="145" ht="15.75" customHeight="1" s="35">
      <c r="A145" s="18" t="n"/>
      <c r="B145" s="18" t="n"/>
      <c r="C145" s="18" t="n"/>
      <c r="D145" s="18" t="n"/>
      <c r="E145" s="18" t="n"/>
    </row>
    <row r="146" ht="15.75" customHeight="1" s="35">
      <c r="A146" s="18" t="n"/>
      <c r="B146" s="18" t="n"/>
      <c r="C146" s="18" t="n"/>
      <c r="D146" s="18" t="n"/>
      <c r="E146" s="18" t="n"/>
    </row>
    <row r="147" ht="15.75" customHeight="1" s="35">
      <c r="A147" s="18" t="n"/>
      <c r="B147" s="18" t="n"/>
      <c r="C147" s="18" t="n"/>
      <c r="D147" s="18" t="n"/>
      <c r="E147" s="18" t="n"/>
    </row>
    <row r="148" ht="15.75" customHeight="1" s="35">
      <c r="A148" s="18" t="n"/>
      <c r="B148" s="18" t="n"/>
      <c r="C148" s="18" t="n"/>
      <c r="D148" s="18" t="n"/>
      <c r="E148" s="18" t="n"/>
    </row>
    <row r="149" ht="15.75" customHeight="1" s="35">
      <c r="A149" s="18" t="n"/>
      <c r="B149" s="18" t="n"/>
      <c r="C149" s="18" t="n"/>
      <c r="D149" s="18" t="n"/>
      <c r="E149" s="18" t="n"/>
    </row>
    <row r="150" ht="15.75" customHeight="1" s="35">
      <c r="A150" s="18" t="n"/>
      <c r="B150" s="18" t="n"/>
      <c r="C150" s="18" t="n"/>
      <c r="D150" s="18" t="n"/>
      <c r="E150" s="18" t="n"/>
    </row>
    <row r="151" ht="15.75" customHeight="1" s="35">
      <c r="A151" s="18" t="n"/>
      <c r="B151" s="18" t="n"/>
      <c r="C151" s="18" t="n"/>
      <c r="D151" s="18" t="n"/>
      <c r="E151" s="18" t="n"/>
    </row>
    <row r="152" ht="15.75" customHeight="1" s="35">
      <c r="A152" s="18" t="n"/>
      <c r="B152" s="18" t="n"/>
      <c r="C152" s="18" t="n"/>
      <c r="D152" s="18" t="n"/>
      <c r="E152" s="18" t="n"/>
    </row>
    <row r="153" ht="15.75" customHeight="1" s="35">
      <c r="A153" s="18" t="n"/>
      <c r="B153" s="18" t="n"/>
      <c r="C153" s="18" t="n"/>
      <c r="D153" s="18" t="n"/>
      <c r="E153" s="18" t="n"/>
    </row>
    <row r="154" ht="15.75" customHeight="1" s="35">
      <c r="A154" s="18" t="n"/>
      <c r="B154" s="18" t="n"/>
      <c r="C154" s="18" t="n"/>
      <c r="D154" s="18" t="n"/>
      <c r="E154" s="18" t="n"/>
    </row>
    <row r="155" ht="15.75" customHeight="1" s="35">
      <c r="A155" s="18" t="n"/>
      <c r="B155" s="18" t="n"/>
      <c r="C155" s="18" t="n"/>
      <c r="D155" s="18" t="n"/>
      <c r="E155" s="18" t="n"/>
    </row>
    <row r="156" ht="15.75" customHeight="1" s="35">
      <c r="A156" s="18" t="n"/>
      <c r="B156" s="18" t="n"/>
      <c r="C156" s="18" t="n"/>
      <c r="D156" s="18" t="n"/>
      <c r="E156" s="18" t="n"/>
    </row>
    <row r="157" ht="15.75" customHeight="1" s="35">
      <c r="A157" s="18" t="n"/>
      <c r="B157" s="18" t="n"/>
      <c r="C157" s="18" t="n"/>
      <c r="D157" s="18" t="n"/>
      <c r="E157" s="18" t="n"/>
    </row>
    <row r="158" ht="15.75" customHeight="1" s="35">
      <c r="A158" s="18" t="n"/>
      <c r="B158" s="18" t="n"/>
      <c r="C158" s="18" t="n"/>
      <c r="D158" s="18" t="n"/>
      <c r="E158" s="18" t="n"/>
    </row>
    <row r="159" ht="15.75" customHeight="1" s="35">
      <c r="A159" s="18" t="n"/>
      <c r="B159" s="18" t="n"/>
      <c r="C159" s="18" t="n"/>
      <c r="D159" s="18" t="n"/>
      <c r="E159" s="18" t="n"/>
    </row>
    <row r="160" ht="15.75" customHeight="1" s="35">
      <c r="A160" s="18" t="n"/>
      <c r="B160" s="18" t="n"/>
      <c r="C160" s="18" t="n"/>
      <c r="D160" s="18" t="n"/>
      <c r="E160" s="18" t="n"/>
    </row>
    <row r="161" ht="15.75" customHeight="1" s="35">
      <c r="A161" s="18" t="n"/>
      <c r="B161" s="18" t="n"/>
      <c r="C161" s="18" t="n"/>
      <c r="D161" s="18" t="n"/>
      <c r="E161" s="18" t="n"/>
    </row>
    <row r="162" ht="15.75" customHeight="1" s="35">
      <c r="A162" s="18" t="n"/>
      <c r="B162" s="18" t="n"/>
      <c r="C162" s="18" t="n"/>
      <c r="D162" s="18" t="n"/>
      <c r="E162" s="18" t="n"/>
    </row>
    <row r="163" ht="15.75" customHeight="1" s="35">
      <c r="A163" s="18" t="n"/>
      <c r="B163" s="18" t="n"/>
      <c r="C163" s="18" t="n"/>
      <c r="D163" s="18" t="n"/>
      <c r="E163" s="18" t="n"/>
    </row>
    <row r="164" ht="15.75" customHeight="1" s="35">
      <c r="A164" s="18" t="n"/>
      <c r="B164" s="18" t="n"/>
      <c r="C164" s="18" t="n"/>
      <c r="D164" s="18" t="n"/>
      <c r="E164" s="18" t="n"/>
    </row>
    <row r="165" ht="15.75" customHeight="1" s="35">
      <c r="A165" s="18" t="n"/>
      <c r="B165" s="18" t="n"/>
      <c r="C165" s="18" t="n"/>
      <c r="D165" s="18" t="n"/>
      <c r="E165" s="18" t="n"/>
    </row>
    <row r="166" ht="15.75" customHeight="1" s="35">
      <c r="A166" s="18" t="n"/>
      <c r="B166" s="18" t="n"/>
      <c r="C166" s="18" t="n"/>
      <c r="D166" s="18" t="n"/>
      <c r="E166" s="18" t="n"/>
    </row>
    <row r="167" ht="15.75" customHeight="1" s="35">
      <c r="A167" s="18" t="n"/>
      <c r="B167" s="18" t="n"/>
      <c r="C167" s="18" t="n"/>
      <c r="D167" s="18" t="n"/>
      <c r="E167" s="18" t="n"/>
    </row>
    <row r="168" ht="15.75" customHeight="1" s="35">
      <c r="A168" s="18" t="n"/>
      <c r="B168" s="18" t="n"/>
      <c r="C168" s="18" t="n"/>
      <c r="D168" s="18" t="n"/>
      <c r="E168" s="18" t="n"/>
    </row>
    <row r="169" ht="15.75" customHeight="1" s="35">
      <c r="A169" s="18" t="n"/>
      <c r="B169" s="18" t="n"/>
      <c r="C169" s="18" t="n"/>
      <c r="D169" s="18" t="n"/>
      <c r="E169" s="18" t="n"/>
    </row>
    <row r="170" ht="15.75" customHeight="1" s="35">
      <c r="A170" s="18" t="n"/>
      <c r="B170" s="18" t="n"/>
      <c r="C170" s="18" t="n"/>
      <c r="D170" s="18" t="n"/>
      <c r="E170" s="18" t="n"/>
    </row>
    <row r="171" ht="15.75" customHeight="1" s="35">
      <c r="A171" s="18" t="n"/>
      <c r="B171" s="18" t="n"/>
      <c r="C171" s="18" t="n"/>
      <c r="D171" s="18" t="n"/>
      <c r="E171" s="18" t="n"/>
    </row>
    <row r="172" ht="15.75" customHeight="1" s="35">
      <c r="A172" s="18" t="n"/>
      <c r="B172" s="18" t="n"/>
      <c r="C172" s="18" t="n"/>
      <c r="D172" s="18" t="n"/>
      <c r="E172" s="18" t="n"/>
    </row>
    <row r="173" ht="15.75" customHeight="1" s="35">
      <c r="A173" s="18" t="n"/>
      <c r="B173" s="18" t="n"/>
      <c r="C173" s="18" t="n"/>
      <c r="D173" s="18" t="n"/>
      <c r="E173" s="18" t="n"/>
    </row>
    <row r="174" ht="15.75" customHeight="1" s="35">
      <c r="A174" s="18" t="n"/>
      <c r="B174" s="18" t="n"/>
      <c r="C174" s="18" t="n"/>
      <c r="D174" s="18" t="n"/>
      <c r="E174" s="18" t="n"/>
    </row>
    <row r="175" ht="15.75" customHeight="1" s="35">
      <c r="A175" s="18" t="n"/>
      <c r="B175" s="18" t="n"/>
      <c r="C175" s="18" t="n"/>
      <c r="D175" s="18" t="n"/>
      <c r="E175" s="18" t="n"/>
    </row>
    <row r="176" ht="15.75" customHeight="1" s="35">
      <c r="A176" s="18" t="n"/>
      <c r="B176" s="18" t="n"/>
      <c r="C176" s="18" t="n"/>
      <c r="D176" s="18" t="n"/>
      <c r="E176" s="18" t="n"/>
    </row>
    <row r="177" ht="15.75" customHeight="1" s="35">
      <c r="A177" s="18" t="n"/>
      <c r="B177" s="18" t="n"/>
      <c r="C177" s="18" t="n"/>
      <c r="D177" s="18" t="n"/>
      <c r="E177" s="18" t="n"/>
    </row>
    <row r="178" ht="15.75" customHeight="1" s="35">
      <c r="A178" s="18" t="n"/>
      <c r="B178" s="18" t="n"/>
      <c r="C178" s="18" t="n"/>
      <c r="D178" s="18" t="n"/>
      <c r="E178" s="18" t="n"/>
    </row>
    <row r="179" ht="15.75" customHeight="1" s="35">
      <c r="A179" s="18" t="n"/>
      <c r="B179" s="18" t="n"/>
      <c r="C179" s="18" t="n"/>
      <c r="D179" s="18" t="n"/>
      <c r="E179" s="18" t="n"/>
    </row>
    <row r="180" ht="15.75" customHeight="1" s="35">
      <c r="A180" s="18" t="n"/>
      <c r="B180" s="18" t="n"/>
      <c r="C180" s="18" t="n"/>
      <c r="D180" s="18" t="n"/>
      <c r="E180" s="18" t="n"/>
    </row>
    <row r="181" ht="15.75" customHeight="1" s="35">
      <c r="A181" s="18" t="n"/>
      <c r="B181" s="18" t="n"/>
      <c r="C181" s="18" t="n"/>
      <c r="D181" s="18" t="n"/>
      <c r="E181" s="18" t="n"/>
    </row>
    <row r="182" ht="15.75" customHeight="1" s="35">
      <c r="A182" s="18" t="n"/>
      <c r="B182" s="18" t="n"/>
      <c r="C182" s="18" t="n"/>
      <c r="D182" s="18" t="n"/>
      <c r="E182" s="18" t="n"/>
    </row>
    <row r="183" ht="15.75" customHeight="1" s="35">
      <c r="A183" s="18" t="n"/>
      <c r="B183" s="18" t="n"/>
      <c r="C183" s="18" t="n"/>
      <c r="D183" s="18" t="n"/>
      <c r="E183" s="18" t="n"/>
    </row>
    <row r="184" ht="15.75" customHeight="1" s="35">
      <c r="A184" s="18" t="n"/>
      <c r="B184" s="18" t="n"/>
      <c r="C184" s="18" t="n"/>
      <c r="D184" s="18" t="n"/>
      <c r="E184" s="18" t="n"/>
    </row>
    <row r="185" ht="15.75" customHeight="1" s="35">
      <c r="A185" s="18" t="n"/>
      <c r="B185" s="18" t="n"/>
      <c r="C185" s="18" t="n"/>
      <c r="D185" s="18" t="n"/>
      <c r="E185" s="18" t="n"/>
    </row>
    <row r="186" ht="15.75" customHeight="1" s="35">
      <c r="A186" s="18" t="n"/>
      <c r="B186" s="18" t="n"/>
      <c r="C186" s="18" t="n"/>
      <c r="D186" s="18" t="n"/>
      <c r="E186" s="18" t="n"/>
    </row>
    <row r="187" ht="15.75" customHeight="1" s="35">
      <c r="A187" s="18" t="n"/>
      <c r="B187" s="18" t="n"/>
      <c r="C187" s="18" t="n"/>
      <c r="D187" s="18" t="n"/>
      <c r="E187" s="18" t="n"/>
    </row>
    <row r="188" ht="15.75" customHeight="1" s="35">
      <c r="A188" s="18" t="n"/>
      <c r="B188" s="18" t="n"/>
      <c r="C188" s="18" t="n"/>
      <c r="D188" s="18" t="n"/>
      <c r="E188" s="18" t="n"/>
    </row>
    <row r="189" ht="15.75" customHeight="1" s="35">
      <c r="A189" s="18" t="n"/>
      <c r="B189" s="18" t="n"/>
      <c r="C189" s="18" t="n"/>
      <c r="D189" s="18" t="n"/>
      <c r="E189" s="18" t="n"/>
    </row>
    <row r="190" ht="15.75" customHeight="1" s="35">
      <c r="A190" s="18" t="n"/>
      <c r="B190" s="18" t="n"/>
      <c r="C190" s="18" t="n"/>
      <c r="D190" s="18" t="n"/>
      <c r="E190" s="18" t="n"/>
    </row>
    <row r="191" ht="15.75" customHeight="1" s="35">
      <c r="A191" s="18" t="n"/>
      <c r="B191" s="18" t="n"/>
      <c r="C191" s="18" t="n"/>
      <c r="D191" s="18" t="n"/>
      <c r="E191" s="18" t="n"/>
    </row>
    <row r="192" ht="15.75" customHeight="1" s="35">
      <c r="A192" s="18" t="n"/>
      <c r="B192" s="18" t="n"/>
      <c r="C192" s="18" t="n"/>
      <c r="D192" s="18" t="n"/>
      <c r="E192" s="18" t="n"/>
    </row>
    <row r="193" ht="15.75" customHeight="1" s="35">
      <c r="A193" s="18" t="n"/>
      <c r="B193" s="18" t="n"/>
      <c r="C193" s="18" t="n"/>
      <c r="D193" s="18" t="n"/>
      <c r="E193" s="18" t="n"/>
    </row>
    <row r="194" ht="15.75" customHeight="1" s="35">
      <c r="A194" s="18" t="n"/>
      <c r="B194" s="18" t="n"/>
      <c r="C194" s="18" t="n"/>
      <c r="D194" s="18" t="n"/>
      <c r="E194" s="18" t="n"/>
    </row>
    <row r="195" ht="15.75" customHeight="1" s="35">
      <c r="A195" s="18" t="n"/>
      <c r="B195" s="18" t="n"/>
      <c r="C195" s="18" t="n"/>
      <c r="D195" s="18" t="n"/>
      <c r="E195" s="18" t="n"/>
    </row>
    <row r="196" ht="15.75" customHeight="1" s="35">
      <c r="A196" s="18" t="n"/>
      <c r="B196" s="18" t="n"/>
      <c r="C196" s="18" t="n"/>
      <c r="D196" s="18" t="n"/>
      <c r="E196" s="18" t="n"/>
    </row>
    <row r="197" ht="15.75" customHeight="1" s="35">
      <c r="A197" s="18" t="n"/>
      <c r="B197" s="18" t="n"/>
      <c r="C197" s="18" t="n"/>
      <c r="D197" s="18" t="n"/>
      <c r="E197" s="18" t="n"/>
    </row>
    <row r="198" ht="15.75" customHeight="1" s="35">
      <c r="A198" s="18" t="n"/>
      <c r="B198" s="18" t="n"/>
      <c r="C198" s="18" t="n"/>
      <c r="D198" s="18" t="n"/>
      <c r="E198" s="18" t="n"/>
    </row>
    <row r="199" ht="15.75" customHeight="1" s="35">
      <c r="A199" s="18" t="n"/>
      <c r="B199" s="18" t="n"/>
      <c r="C199" s="18" t="n"/>
      <c r="D199" s="18" t="n"/>
      <c r="E199" s="18" t="n"/>
    </row>
    <row r="200" ht="15.75" customHeight="1" s="35">
      <c r="A200" s="18" t="n"/>
      <c r="B200" s="18" t="n"/>
      <c r="C200" s="18" t="n"/>
      <c r="D200" s="18" t="n"/>
      <c r="E200" s="18" t="n"/>
    </row>
    <row r="201" ht="15.75" customHeight="1" s="35">
      <c r="A201" s="18" t="n"/>
      <c r="B201" s="18" t="n"/>
      <c r="C201" s="18" t="n"/>
      <c r="D201" s="18" t="n"/>
      <c r="E201" s="18" t="n"/>
    </row>
    <row r="202" ht="15.75" customHeight="1" s="35">
      <c r="A202" s="18" t="n"/>
      <c r="B202" s="18" t="n"/>
      <c r="C202" s="18" t="n"/>
      <c r="D202" s="18" t="n"/>
      <c r="E202" s="18" t="n"/>
    </row>
    <row r="203" ht="15.75" customHeight="1" s="35">
      <c r="A203" s="18" t="n"/>
      <c r="B203" s="18" t="n"/>
      <c r="C203" s="18" t="n"/>
      <c r="D203" s="18" t="n"/>
      <c r="E203" s="18" t="n"/>
    </row>
    <row r="204" ht="15.75" customHeight="1" s="35">
      <c r="A204" s="18" t="n"/>
      <c r="B204" s="18" t="n"/>
      <c r="C204" s="18" t="n"/>
      <c r="D204" s="18" t="n"/>
      <c r="E204" s="18" t="n"/>
    </row>
    <row r="205" ht="15.75" customHeight="1" s="35">
      <c r="A205" s="18" t="n"/>
      <c r="B205" s="18" t="n"/>
      <c r="C205" s="18" t="n"/>
      <c r="D205" s="18" t="n"/>
      <c r="E205" s="18" t="n"/>
    </row>
    <row r="206" ht="15.75" customHeight="1" s="35">
      <c r="A206" s="18" t="n"/>
      <c r="B206" s="18" t="n"/>
      <c r="C206" s="18" t="n"/>
      <c r="D206" s="18" t="n"/>
      <c r="E206" s="18" t="n"/>
    </row>
    <row r="207" ht="15.75" customHeight="1" s="35">
      <c r="A207" s="18" t="n"/>
      <c r="B207" s="18" t="n"/>
      <c r="C207" s="18" t="n"/>
      <c r="D207" s="18" t="n"/>
      <c r="E207" s="18" t="n"/>
    </row>
    <row r="208" ht="15.75" customHeight="1" s="35">
      <c r="A208" s="18" t="n"/>
      <c r="B208" s="18" t="n"/>
      <c r="C208" s="18" t="n"/>
      <c r="D208" s="18" t="n"/>
      <c r="E208" s="18" t="n"/>
    </row>
    <row r="209" ht="15.75" customHeight="1" s="35">
      <c r="A209" s="18" t="n"/>
      <c r="B209" s="18" t="n"/>
      <c r="C209" s="18" t="n"/>
      <c r="D209" s="18" t="n"/>
      <c r="E209" s="18" t="n"/>
    </row>
    <row r="210" ht="15.75" customHeight="1" s="35">
      <c r="A210" s="18" t="n"/>
      <c r="B210" s="18" t="n"/>
      <c r="C210" s="18" t="n"/>
      <c r="D210" s="18" t="n"/>
      <c r="E210" s="18" t="n"/>
    </row>
    <row r="211" ht="15.75" customHeight="1" s="35">
      <c r="A211" s="18" t="n"/>
      <c r="B211" s="18" t="n"/>
      <c r="C211" s="18" t="n"/>
      <c r="D211" s="18" t="n"/>
      <c r="E211" s="18" t="n"/>
    </row>
    <row r="212" ht="15.75" customHeight="1" s="35">
      <c r="A212" s="18" t="n"/>
      <c r="B212" s="18" t="n"/>
      <c r="C212" s="18" t="n"/>
      <c r="D212" s="18" t="n"/>
      <c r="E212" s="18" t="n"/>
    </row>
    <row r="213" ht="15.75" customHeight="1" s="35">
      <c r="A213" s="18" t="n"/>
      <c r="B213" s="18" t="n"/>
      <c r="C213" s="18" t="n"/>
      <c r="D213" s="18" t="n"/>
      <c r="E213" s="18" t="n"/>
    </row>
    <row r="214" ht="15.75" customHeight="1" s="35">
      <c r="A214" s="18" t="n"/>
      <c r="B214" s="18" t="n"/>
      <c r="C214" s="18" t="n"/>
      <c r="D214" s="18" t="n"/>
      <c r="E214" s="18" t="n"/>
    </row>
    <row r="215" ht="15.75" customHeight="1" s="35">
      <c r="A215" s="18" t="n"/>
      <c r="B215" s="18" t="n"/>
      <c r="C215" s="18" t="n"/>
      <c r="D215" s="18" t="n"/>
      <c r="E215" s="18" t="n"/>
    </row>
    <row r="216" ht="15.75" customHeight="1" s="35">
      <c r="A216" s="18" t="n"/>
      <c r="B216" s="18" t="n"/>
      <c r="C216" s="18" t="n"/>
      <c r="D216" s="18" t="n"/>
      <c r="E216" s="18" t="n"/>
    </row>
    <row r="217" ht="15.75" customHeight="1" s="35">
      <c r="A217" s="18" t="n"/>
      <c r="B217" s="18" t="n"/>
      <c r="C217" s="18" t="n"/>
      <c r="D217" s="18" t="n"/>
      <c r="E217" s="18" t="n"/>
    </row>
    <row r="218" ht="15.75" customHeight="1" s="35">
      <c r="A218" s="18" t="n"/>
      <c r="B218" s="18" t="n"/>
      <c r="C218" s="18" t="n"/>
      <c r="D218" s="18" t="n"/>
      <c r="E218" s="18" t="n"/>
    </row>
    <row r="219" ht="15.75" customHeight="1" s="35">
      <c r="A219" s="18" t="n"/>
      <c r="B219" s="18" t="n"/>
      <c r="C219" s="18" t="n"/>
      <c r="D219" s="18" t="n"/>
      <c r="E219" s="18" t="n"/>
    </row>
    <row r="220" ht="15.75" customHeight="1" s="35">
      <c r="A220" s="18" t="n"/>
      <c r="B220" s="18" t="n"/>
      <c r="C220" s="18" t="n"/>
      <c r="D220" s="18" t="n"/>
      <c r="E220" s="18" t="n"/>
    </row>
    <row r="221" ht="15.75" customHeight="1" s="35">
      <c r="A221" s="18" t="n"/>
      <c r="B221" s="18" t="n"/>
      <c r="C221" s="18" t="n"/>
      <c r="D221" s="18" t="n"/>
      <c r="E221" s="18" t="n"/>
    </row>
    <row r="222" ht="15.75" customHeight="1" s="35">
      <c r="A222" s="18" t="n"/>
      <c r="B222" s="18" t="n"/>
      <c r="C222" s="18" t="n"/>
      <c r="D222" s="18" t="n"/>
      <c r="E222" s="18" t="n"/>
    </row>
    <row r="223" ht="15.75" customHeight="1" s="35">
      <c r="A223" s="18" t="n"/>
      <c r="B223" s="18" t="n"/>
      <c r="C223" s="18" t="n"/>
      <c r="D223" s="18" t="n"/>
      <c r="E223" s="18" t="n"/>
    </row>
    <row r="224" ht="15.75" customHeight="1" s="35">
      <c r="A224" s="18" t="n"/>
      <c r="B224" s="18" t="n"/>
      <c r="C224" s="18" t="n"/>
      <c r="D224" s="18" t="n"/>
      <c r="E224" s="18" t="n"/>
    </row>
    <row r="225" ht="15.75" customHeight="1" s="35">
      <c r="A225" s="18" t="n"/>
      <c r="B225" s="18" t="n"/>
      <c r="C225" s="18" t="n"/>
      <c r="D225" s="18" t="n"/>
      <c r="E225" s="18" t="n"/>
    </row>
    <row r="226" ht="15.75" customHeight="1" s="35">
      <c r="A226" s="18" t="n"/>
      <c r="B226" s="18" t="n"/>
      <c r="C226" s="18" t="n"/>
      <c r="D226" s="18" t="n"/>
      <c r="E226" s="18" t="n"/>
    </row>
    <row r="227" ht="15.75" customHeight="1" s="35">
      <c r="A227" s="18" t="n"/>
      <c r="B227" s="18" t="n"/>
      <c r="C227" s="18" t="n"/>
      <c r="D227" s="18" t="n"/>
      <c r="E227" s="18" t="n"/>
    </row>
    <row r="228" ht="15.75" customHeight="1" s="35">
      <c r="A228" s="18" t="n"/>
      <c r="B228" s="18" t="n"/>
      <c r="C228" s="18" t="n"/>
      <c r="D228" s="18" t="n"/>
      <c r="E228" s="18" t="n"/>
    </row>
    <row r="229" ht="15.75" customHeight="1" s="35">
      <c r="A229" s="18" t="n"/>
      <c r="B229" s="18" t="n"/>
      <c r="C229" s="18" t="n"/>
      <c r="D229" s="18" t="n"/>
      <c r="E229" s="18" t="n"/>
    </row>
    <row r="230" ht="15.75" customHeight="1" s="35">
      <c r="A230" s="18" t="n"/>
      <c r="B230" s="18" t="n"/>
      <c r="C230" s="18" t="n"/>
      <c r="D230" s="18" t="n"/>
      <c r="E230" s="18" t="n"/>
    </row>
    <row r="231" ht="15.75" customHeight="1" s="35">
      <c r="A231" s="18" t="n"/>
      <c r="B231" s="18" t="n"/>
      <c r="C231" s="18" t="n"/>
      <c r="D231" s="18" t="n"/>
      <c r="E231" s="18" t="n"/>
    </row>
    <row r="232" ht="15.75" customHeight="1" s="35">
      <c r="A232" s="18" t="n"/>
      <c r="B232" s="18" t="n"/>
      <c r="C232" s="18" t="n"/>
      <c r="D232" s="18" t="n"/>
      <c r="E232" s="18" t="n"/>
    </row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E2"/>
    <mergeCell ref="A1:E1"/>
  </mergeCells>
  <hyperlinks>
    <hyperlink xmlns:r="http://schemas.openxmlformats.org/officeDocument/2006/relationships" ref="C19" r:id="rId1"/>
    <hyperlink xmlns:r="http://schemas.openxmlformats.org/officeDocument/2006/relationships" ref="C20" r:id="rId2"/>
    <hyperlink xmlns:r="http://schemas.openxmlformats.org/officeDocument/2006/relationships" ref="C21" r:id="rId3"/>
    <hyperlink xmlns:r="http://schemas.openxmlformats.org/officeDocument/2006/relationships" ref="C23" r:id="rId4"/>
    <hyperlink xmlns:r="http://schemas.openxmlformats.org/officeDocument/2006/relationships" ref="C24" r:id="rId5"/>
    <hyperlink xmlns:r="http://schemas.openxmlformats.org/officeDocument/2006/relationships" ref="C25" r:id="rId6"/>
    <hyperlink xmlns:r="http://schemas.openxmlformats.org/officeDocument/2006/relationships" ref="C26" r:id="rId7"/>
  </hyperlink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5" min="1" max="1"/>
    <col width="26" customWidth="1" style="35" min="2" max="2"/>
    <col width="18" customWidth="1" style="35" min="3" max="3"/>
    <col width="12" customWidth="1" style="35" min="4" max="4"/>
    <col width="8.710000000000001" customWidth="1" style="35" min="5" max="6"/>
  </cols>
  <sheetData>
    <row r="1" ht="24" customHeight="1" s="35">
      <c r="A1" s="1" t="inlineStr">
        <is>
          <t>Cities visited</t>
        </is>
      </c>
    </row>
    <row r="2" ht="18" customHeight="1" s="35">
      <c r="A2" s="2" t="inlineStr">
        <is>
          <t>Nights per stop · 25 nights total verified by formula</t>
        </is>
      </c>
    </row>
    <row r="3">
      <c r="A3" s="18" t="n"/>
      <c r="B3" s="18" t="n"/>
      <c r="C3" s="18" t="n"/>
      <c r="D3" s="18" t="n"/>
    </row>
    <row r="4" ht="15" customHeight="1" s="35">
      <c r="A4" s="4" t="inlineStr">
        <is>
          <t>Order</t>
        </is>
      </c>
      <c r="B4" s="4" t="inlineStr">
        <is>
          <t>City</t>
        </is>
      </c>
      <c r="C4" s="4" t="inlineStr">
        <is>
          <t>Country</t>
        </is>
      </c>
      <c r="D4" s="4" t="inlineStr">
        <is>
          <t>Nights</t>
        </is>
      </c>
    </row>
    <row r="5" ht="15" customHeight="1" s="35">
      <c r="A5" s="17" t="n">
        <v>1</v>
      </c>
      <c r="B5" s="17" t="inlineStr">
        <is>
          <t>Munich (arrive only)</t>
        </is>
      </c>
      <c r="C5" s="17" t="inlineStr">
        <is>
          <t>Germany</t>
        </is>
      </c>
      <c r="D5" s="17" t="n">
        <v>0</v>
      </c>
    </row>
    <row r="6" ht="15" customHeight="1" s="35">
      <c r="A6" s="17" t="inlineStr">
        <is>
          <t>1b</t>
        </is>
      </c>
      <c r="B6" s="17" t="inlineStr">
        <is>
          <t>Burg Altpernstein (castle hotel)</t>
        </is>
      </c>
      <c r="C6" s="17" t="inlineStr">
        <is>
          <t>Austria</t>
        </is>
      </c>
      <c r="D6" s="17" t="n">
        <v>2</v>
      </c>
    </row>
    <row r="7" ht="15" customHeight="1" s="35">
      <c r="A7" s="17" t="n">
        <v>2</v>
      </c>
      <c r="B7" s="17" t="inlineStr">
        <is>
          <t>Hallstatt (day trip)</t>
        </is>
      </c>
      <c r="C7" s="17" t="inlineStr">
        <is>
          <t>Austria</t>
        </is>
      </c>
      <c r="D7" s="17" t="n">
        <v>0</v>
      </c>
    </row>
    <row r="8" ht="15" customHeight="1" s="35">
      <c r="A8" s="17" t="n">
        <v>3</v>
      </c>
      <c r="B8" s="17" t="inlineStr">
        <is>
          <t>Prague</t>
        </is>
      </c>
      <c r="C8" s="17" t="inlineStr">
        <is>
          <t>Czechia</t>
        </is>
      </c>
      <c r="D8" s="17" t="n">
        <v>2</v>
      </c>
    </row>
    <row r="9" ht="15" customHeight="1" s="35">
      <c r="A9" s="17" t="n">
        <v>4</v>
      </c>
      <c r="B9" s="17" t="inlineStr">
        <is>
          <t>Vienna</t>
        </is>
      </c>
      <c r="C9" s="17" t="inlineStr">
        <is>
          <t>Austria</t>
        </is>
      </c>
      <c r="D9" s="17" t="n">
        <v>1</v>
      </c>
    </row>
    <row r="10" ht="15" customHeight="1" s="35">
      <c r="A10" s="17" t="n">
        <v>5</v>
      </c>
      <c r="B10" s="17" t="inlineStr">
        <is>
          <t>Budapest</t>
        </is>
      </c>
      <c r="C10" s="17" t="inlineStr">
        <is>
          <t>Hungary</t>
        </is>
      </c>
      <c r="D10" s="17" t="n">
        <v>1</v>
      </c>
    </row>
    <row r="11" ht="15" customHeight="1" s="35">
      <c r="A11" s="17" t="n">
        <v>6</v>
      </c>
      <c r="B11" s="17" t="inlineStr">
        <is>
          <t>Bled (day stop)</t>
        </is>
      </c>
      <c r="C11" s="17" t="inlineStr">
        <is>
          <t>Slovenia</t>
        </is>
      </c>
      <c r="D11" s="17" t="n">
        <v>0</v>
      </c>
    </row>
    <row r="12" ht="15" customHeight="1" s="35">
      <c r="A12" s="17" t="n">
        <v>7</v>
      </c>
      <c r="B12" s="17" t="inlineStr">
        <is>
          <t>Venice</t>
        </is>
      </c>
      <c r="C12" s="17" t="inlineStr">
        <is>
          <t>Italy</t>
        </is>
      </c>
      <c r="D12" s="17" t="n">
        <v>2</v>
      </c>
    </row>
    <row r="13" ht="15" customHeight="1" s="35">
      <c r="A13" s="17" t="n">
        <v>8</v>
      </c>
      <c r="B13" s="17" t="inlineStr">
        <is>
          <t>Florence</t>
        </is>
      </c>
      <c r="C13" s="17" t="inlineStr">
        <is>
          <t>Italy</t>
        </is>
      </c>
      <c r="D13" s="17" t="n">
        <v>1</v>
      </c>
    </row>
    <row r="14" ht="15" customHeight="1" s="35">
      <c r="A14" s="17" t="n">
        <v>9</v>
      </c>
      <c r="B14" s="17" t="inlineStr">
        <is>
          <t>Naples (day trip)</t>
        </is>
      </c>
      <c r="C14" s="17" t="inlineStr">
        <is>
          <t>Italy</t>
        </is>
      </c>
      <c r="D14" s="17" t="n">
        <v>0</v>
      </c>
    </row>
    <row r="15" ht="15" customHeight="1" s="35">
      <c r="A15" s="17" t="n">
        <v>10</v>
      </c>
      <c r="B15" s="17" t="inlineStr">
        <is>
          <t>Rome</t>
        </is>
      </c>
      <c r="C15" s="17" t="inlineStr">
        <is>
          <t>Italy</t>
        </is>
      </c>
      <c r="D15" s="17" t="n">
        <v>3</v>
      </c>
    </row>
    <row r="16" ht="15" customHeight="1" s="35">
      <c r="A16" s="17" t="n">
        <v>11</v>
      </c>
      <c r="B16" s="17" t="inlineStr">
        <is>
          <t>Milan</t>
        </is>
      </c>
      <c r="C16" s="17" t="inlineStr">
        <is>
          <t>Italy</t>
        </is>
      </c>
      <c r="D16" s="17" t="n">
        <v>1</v>
      </c>
    </row>
    <row r="17" ht="15" customHeight="1" s="35">
      <c r="A17" s="17" t="n">
        <v>12</v>
      </c>
      <c r="B17" s="17" t="inlineStr">
        <is>
          <t>Zermatt</t>
        </is>
      </c>
      <c r="C17" s="17" t="inlineStr">
        <is>
          <t>Switzerland</t>
        </is>
      </c>
      <c r="D17" s="17" t="n">
        <v>1</v>
      </c>
    </row>
    <row r="18" ht="15" customHeight="1" s="35">
      <c r="A18" s="17" t="n">
        <v>13</v>
      </c>
      <c r="B18" s="17" t="inlineStr">
        <is>
          <t>Interlaken</t>
        </is>
      </c>
      <c r="C18" s="17" t="inlineStr">
        <is>
          <t>Switzerland</t>
        </is>
      </c>
      <c r="D18" s="17" t="n">
        <v>2</v>
      </c>
    </row>
    <row r="19" ht="15" customHeight="1" s="35">
      <c r="A19" s="17" t="n">
        <v>14</v>
      </c>
      <c r="B19" s="17" t="inlineStr">
        <is>
          <t>Zürich</t>
        </is>
      </c>
      <c r="C19" s="17" t="inlineStr">
        <is>
          <t>Switzerland</t>
        </is>
      </c>
      <c r="D19" s="17" t="n">
        <v>1</v>
      </c>
    </row>
    <row r="20" ht="15" customHeight="1" s="35">
      <c r="A20" s="17" t="n">
        <v>15</v>
      </c>
      <c r="B20" s="17" t="inlineStr">
        <is>
          <t>Paris</t>
        </is>
      </c>
      <c r="C20" s="17" t="inlineStr">
        <is>
          <t>France</t>
        </is>
      </c>
      <c r="D20" s="17" t="n">
        <v>1</v>
      </c>
    </row>
    <row r="21" ht="15" customHeight="1" s="35">
      <c r="A21" s="17" t="n">
        <v>16</v>
      </c>
      <c r="B21" s="17" t="inlineStr">
        <is>
          <t>Lourdes</t>
        </is>
      </c>
      <c r="C21" s="17" t="inlineStr">
        <is>
          <t>France</t>
        </is>
      </c>
      <c r="D21" s="17" t="n">
        <v>1</v>
      </c>
    </row>
    <row r="22" ht="15" customHeight="1" s="35">
      <c r="A22" s="7" t="n">
        <v>17</v>
      </c>
      <c r="B22" s="7" t="inlineStr">
        <is>
          <t>Amsterdam</t>
        </is>
      </c>
      <c r="C22" s="7" t="inlineStr">
        <is>
          <t>Netherlands</t>
        </is>
      </c>
      <c r="D22" s="7" t="n">
        <v>1</v>
      </c>
    </row>
    <row r="23" ht="15" customHeight="1" s="35">
      <c r="A23" s="17" t="n">
        <v>18</v>
      </c>
      <c r="B23" s="17" t="inlineStr">
        <is>
          <t>Berlin</t>
        </is>
      </c>
      <c r="C23" s="17" t="inlineStr">
        <is>
          <t>Germany</t>
        </is>
      </c>
      <c r="D23" s="17" t="n">
        <v>2</v>
      </c>
    </row>
    <row r="24" ht="15" customHeight="1" s="35">
      <c r="A24" s="7" t="n">
        <v>19</v>
      </c>
      <c r="B24" s="7" t="inlineStr">
        <is>
          <t>Copenhagen</t>
        </is>
      </c>
      <c r="C24" s="7" t="inlineStr">
        <is>
          <t>Denmark</t>
        </is>
      </c>
      <c r="D24" s="7" t="n">
        <v>1</v>
      </c>
    </row>
    <row r="25" ht="15" customHeight="1" s="35">
      <c r="A25" s="8" t="n">
        <v>20</v>
      </c>
      <c r="B25" s="8" t="inlineStr">
        <is>
          <t>Gothenburg</t>
        </is>
      </c>
      <c r="C25" s="8" t="inlineStr">
        <is>
          <t>Sweden</t>
        </is>
      </c>
      <c r="D25" s="8" t="n">
        <v>2</v>
      </c>
    </row>
    <row r="26" ht="15" customHeight="1" s="35">
      <c r="A26" s="10" t="inlineStr">
        <is>
          <t>TOTAL</t>
        </is>
      </c>
      <c r="B26" s="10" t="inlineStr">
        <is>
          <t>Nights</t>
        </is>
      </c>
      <c r="C26" s="10" t="n"/>
      <c r="D26" s="10">
        <f>SUM(D5:D25)</f>
        <v/>
      </c>
    </row>
    <row r="27" ht="15.75" customHeight="1" s="35">
      <c r="A27" s="18" t="n"/>
      <c r="B27" s="18" t="n"/>
      <c r="C27" s="18" t="n"/>
      <c r="D27" s="18" t="n"/>
    </row>
    <row r="28" ht="15.75" customHeight="1" s="35">
      <c r="A28" s="18" t="n"/>
      <c r="B28" s="18" t="n"/>
      <c r="C28" s="18" t="n"/>
      <c r="D28" s="18" t="n"/>
    </row>
    <row r="29" ht="15.75" customHeight="1" s="35">
      <c r="A29" s="18" t="n"/>
      <c r="B29" s="18" t="n"/>
      <c r="C29" s="18" t="n"/>
      <c r="D29" s="18" t="n"/>
    </row>
    <row r="30" ht="15.75" customHeight="1" s="35">
      <c r="A30" s="18" t="n"/>
      <c r="B30" s="18" t="n"/>
      <c r="C30" s="18" t="n"/>
      <c r="D30" s="18" t="n"/>
    </row>
    <row r="31" ht="15.75" customHeight="1" s="35">
      <c r="A31" s="18" t="n"/>
      <c r="B31" s="18" t="n"/>
      <c r="C31" s="18" t="n"/>
      <c r="D31" s="18" t="n"/>
    </row>
    <row r="32" ht="15.75" customHeight="1" s="35">
      <c r="A32" s="18" t="n"/>
      <c r="B32" s="18" t="n"/>
      <c r="C32" s="18" t="n"/>
      <c r="D32" s="18" t="n"/>
    </row>
    <row r="33" ht="15.75" customHeight="1" s="35">
      <c r="A33" s="18" t="n"/>
      <c r="B33" s="18" t="n"/>
      <c r="C33" s="18" t="n"/>
      <c r="D33" s="18" t="n"/>
    </row>
    <row r="34" ht="15.75" customHeight="1" s="35">
      <c r="A34" s="18" t="n"/>
      <c r="B34" s="18" t="n"/>
      <c r="C34" s="18" t="n"/>
      <c r="D34" s="18" t="n"/>
    </row>
    <row r="35" ht="15.75" customHeight="1" s="35">
      <c r="A35" s="18" t="n"/>
      <c r="B35" s="18" t="n"/>
      <c r="C35" s="18" t="n"/>
      <c r="D35" s="18" t="n"/>
    </row>
    <row r="36" ht="15.75" customHeight="1" s="35">
      <c r="A36" s="18" t="n"/>
      <c r="B36" s="18" t="n"/>
      <c r="C36" s="18" t="n"/>
      <c r="D36" s="18" t="n"/>
    </row>
    <row r="37" ht="15.75" customHeight="1" s="35">
      <c r="A37" s="18" t="n"/>
      <c r="B37" s="18" t="n"/>
      <c r="C37" s="18" t="n"/>
      <c r="D37" s="18" t="n"/>
    </row>
    <row r="38" ht="15.75" customHeight="1" s="35">
      <c r="A38" s="18" t="n"/>
      <c r="B38" s="18" t="n"/>
      <c r="C38" s="18" t="n"/>
      <c r="D38" s="18" t="n"/>
    </row>
    <row r="39" ht="15.75" customHeight="1" s="35">
      <c r="A39" s="18" t="n"/>
      <c r="B39" s="18" t="n"/>
      <c r="C39" s="18" t="n"/>
      <c r="D39" s="18" t="n"/>
    </row>
    <row r="40" ht="15.75" customHeight="1" s="35">
      <c r="A40" s="18" t="n"/>
      <c r="B40" s="18" t="n"/>
      <c r="C40" s="18" t="n"/>
      <c r="D40" s="18" t="n"/>
    </row>
    <row r="41" ht="15.75" customHeight="1" s="35">
      <c r="A41" s="18" t="n"/>
      <c r="B41" s="18" t="n"/>
      <c r="C41" s="18" t="n"/>
      <c r="D41" s="18" t="n"/>
    </row>
    <row r="42" ht="15.75" customHeight="1" s="35">
      <c r="A42" s="18" t="n"/>
      <c r="B42" s="18" t="n"/>
      <c r="C42" s="18" t="n"/>
      <c r="D42" s="18" t="n"/>
    </row>
    <row r="43" ht="15.75" customHeight="1" s="35">
      <c r="A43" s="18" t="n"/>
      <c r="B43" s="18" t="n"/>
      <c r="C43" s="18" t="n"/>
      <c r="D43" s="18" t="n"/>
    </row>
    <row r="44" ht="15.75" customHeight="1" s="35">
      <c r="A44" s="18" t="n"/>
      <c r="B44" s="18" t="n"/>
      <c r="C44" s="18" t="n"/>
      <c r="D44" s="18" t="n"/>
    </row>
    <row r="45" ht="15.75" customHeight="1" s="35">
      <c r="A45" s="18" t="n"/>
      <c r="B45" s="18" t="n"/>
      <c r="C45" s="18" t="n"/>
      <c r="D45" s="18" t="n"/>
    </row>
    <row r="46" ht="15.75" customHeight="1" s="35">
      <c r="A46" s="18" t="n"/>
      <c r="B46" s="18" t="n"/>
      <c r="C46" s="18" t="n"/>
      <c r="D46" s="18" t="n"/>
    </row>
    <row r="47" ht="15.75" customHeight="1" s="35">
      <c r="A47" s="18" t="n"/>
      <c r="B47" s="18" t="n"/>
      <c r="C47" s="18" t="n"/>
      <c r="D47" s="18" t="n"/>
    </row>
    <row r="48" ht="15.75" customHeight="1" s="35">
      <c r="A48" s="18" t="n"/>
      <c r="B48" s="18" t="n"/>
      <c r="C48" s="18" t="n"/>
      <c r="D48" s="18" t="n"/>
    </row>
    <row r="49" ht="15.75" customHeight="1" s="35">
      <c r="A49" s="18" t="n"/>
      <c r="B49" s="18" t="n"/>
      <c r="C49" s="18" t="n"/>
      <c r="D49" s="18" t="n"/>
    </row>
    <row r="50" ht="15.75" customHeight="1" s="35">
      <c r="A50" s="18" t="n"/>
      <c r="B50" s="18" t="n"/>
      <c r="C50" s="18" t="n"/>
      <c r="D50" s="18" t="n"/>
    </row>
    <row r="51" ht="15.75" customHeight="1" s="35">
      <c r="A51" s="18" t="n"/>
      <c r="B51" s="18" t="n"/>
      <c r="C51" s="18" t="n"/>
      <c r="D51" s="18" t="n"/>
    </row>
    <row r="52" ht="15.75" customHeight="1" s="35">
      <c r="A52" s="18" t="n"/>
      <c r="B52" s="18" t="n"/>
      <c r="C52" s="18" t="n"/>
      <c r="D52" s="18" t="n"/>
    </row>
    <row r="53" ht="15.75" customHeight="1" s="35">
      <c r="A53" s="18" t="n"/>
      <c r="B53" s="18" t="n"/>
      <c r="C53" s="18" t="n"/>
      <c r="D53" s="18" t="n"/>
    </row>
    <row r="54" ht="15.75" customHeight="1" s="35">
      <c r="A54" s="18" t="n"/>
      <c r="B54" s="18" t="n"/>
      <c r="C54" s="18" t="n"/>
      <c r="D54" s="18" t="n"/>
    </row>
    <row r="55" ht="15.75" customHeight="1" s="35">
      <c r="A55" s="18" t="n"/>
      <c r="B55" s="18" t="n"/>
      <c r="C55" s="18" t="n"/>
      <c r="D55" s="18" t="n"/>
    </row>
    <row r="56" ht="15.75" customHeight="1" s="35">
      <c r="A56" s="18" t="n"/>
      <c r="B56" s="18" t="n"/>
      <c r="C56" s="18" t="n"/>
      <c r="D56" s="18" t="n"/>
    </row>
    <row r="57" ht="15.75" customHeight="1" s="35">
      <c r="A57" s="18" t="n"/>
      <c r="B57" s="18" t="n"/>
      <c r="C57" s="18" t="n"/>
      <c r="D57" s="18" t="n"/>
    </row>
    <row r="58" ht="15.75" customHeight="1" s="35">
      <c r="A58" s="18" t="n"/>
      <c r="B58" s="18" t="n"/>
      <c r="C58" s="18" t="n"/>
      <c r="D58" s="18" t="n"/>
    </row>
    <row r="59" ht="15.75" customHeight="1" s="35">
      <c r="A59" s="18" t="n"/>
      <c r="B59" s="18" t="n"/>
      <c r="C59" s="18" t="n"/>
      <c r="D59" s="18" t="n"/>
    </row>
    <row r="60" ht="15.75" customHeight="1" s="35">
      <c r="A60" s="18" t="n"/>
      <c r="B60" s="18" t="n"/>
      <c r="C60" s="18" t="n"/>
      <c r="D60" s="18" t="n"/>
    </row>
    <row r="61" ht="15.75" customHeight="1" s="35">
      <c r="A61" s="18" t="n"/>
      <c r="B61" s="18" t="n"/>
      <c r="C61" s="18" t="n"/>
      <c r="D61" s="18" t="n"/>
    </row>
    <row r="62" ht="15.75" customHeight="1" s="35">
      <c r="A62" s="18" t="n"/>
      <c r="B62" s="18" t="n"/>
      <c r="C62" s="18" t="n"/>
      <c r="D62" s="18" t="n"/>
    </row>
    <row r="63" ht="15.75" customHeight="1" s="35">
      <c r="A63" s="18" t="n"/>
      <c r="B63" s="18" t="n"/>
      <c r="C63" s="18" t="n"/>
      <c r="D63" s="18" t="n"/>
    </row>
    <row r="64" ht="15.75" customHeight="1" s="35">
      <c r="A64" s="18" t="n"/>
      <c r="B64" s="18" t="n"/>
      <c r="C64" s="18" t="n"/>
      <c r="D64" s="18" t="n"/>
    </row>
    <row r="65" ht="15.75" customHeight="1" s="35">
      <c r="A65" s="18" t="n"/>
      <c r="B65" s="18" t="n"/>
      <c r="C65" s="18" t="n"/>
      <c r="D65" s="18" t="n"/>
    </row>
    <row r="66" ht="15.75" customHeight="1" s="35">
      <c r="A66" s="18" t="n"/>
      <c r="B66" s="18" t="n"/>
      <c r="C66" s="18" t="n"/>
      <c r="D66" s="18" t="n"/>
    </row>
    <row r="67" ht="15.75" customHeight="1" s="35">
      <c r="A67" s="18" t="n"/>
      <c r="B67" s="18" t="n"/>
      <c r="C67" s="18" t="n"/>
      <c r="D67" s="18" t="n"/>
    </row>
    <row r="68" ht="15.75" customHeight="1" s="35">
      <c r="A68" s="18" t="n"/>
      <c r="B68" s="18" t="n"/>
      <c r="C68" s="18" t="n"/>
      <c r="D68" s="18" t="n"/>
    </row>
    <row r="69" ht="15.75" customHeight="1" s="35">
      <c r="A69" s="18" t="n"/>
      <c r="B69" s="18" t="n"/>
      <c r="C69" s="18" t="n"/>
      <c r="D69" s="18" t="n"/>
    </row>
    <row r="70" ht="15.75" customHeight="1" s="35">
      <c r="A70" s="18" t="n"/>
      <c r="B70" s="18" t="n"/>
      <c r="C70" s="18" t="n"/>
      <c r="D70" s="18" t="n"/>
    </row>
    <row r="71" ht="15.75" customHeight="1" s="35">
      <c r="A71" s="18" t="n"/>
      <c r="B71" s="18" t="n"/>
      <c r="C71" s="18" t="n"/>
      <c r="D71" s="18" t="n"/>
    </row>
    <row r="72" ht="15.75" customHeight="1" s="35">
      <c r="A72" s="18" t="n"/>
      <c r="B72" s="18" t="n"/>
      <c r="C72" s="18" t="n"/>
      <c r="D72" s="18" t="n"/>
    </row>
    <row r="73" ht="15.75" customHeight="1" s="35">
      <c r="A73" s="18" t="n"/>
      <c r="B73" s="18" t="n"/>
      <c r="C73" s="18" t="n"/>
      <c r="D73" s="18" t="n"/>
    </row>
    <row r="74" ht="15.75" customHeight="1" s="35">
      <c r="A74" s="18" t="n"/>
      <c r="B74" s="18" t="n"/>
      <c r="C74" s="18" t="n"/>
      <c r="D74" s="18" t="n"/>
    </row>
    <row r="75" ht="15.75" customHeight="1" s="35">
      <c r="A75" s="18" t="n"/>
      <c r="B75" s="18" t="n"/>
      <c r="C75" s="18" t="n"/>
      <c r="D75" s="18" t="n"/>
    </row>
    <row r="76" ht="15.75" customHeight="1" s="35">
      <c r="A76" s="18" t="n"/>
      <c r="B76" s="18" t="n"/>
      <c r="C76" s="18" t="n"/>
      <c r="D76" s="18" t="n"/>
    </row>
    <row r="77" ht="15.75" customHeight="1" s="35">
      <c r="A77" s="18" t="n"/>
      <c r="B77" s="18" t="n"/>
      <c r="C77" s="18" t="n"/>
      <c r="D77" s="18" t="n"/>
    </row>
    <row r="78" ht="15.75" customHeight="1" s="35">
      <c r="A78" s="18" t="n"/>
      <c r="B78" s="18" t="n"/>
      <c r="C78" s="18" t="n"/>
      <c r="D78" s="18" t="n"/>
    </row>
    <row r="79" ht="15.75" customHeight="1" s="35">
      <c r="A79" s="18" t="n"/>
      <c r="B79" s="18" t="n"/>
      <c r="C79" s="18" t="n"/>
      <c r="D79" s="18" t="n"/>
    </row>
    <row r="80" ht="15.75" customHeight="1" s="35">
      <c r="A80" s="18" t="n"/>
      <c r="B80" s="18" t="n"/>
      <c r="C80" s="18" t="n"/>
      <c r="D80" s="18" t="n"/>
    </row>
    <row r="81" ht="15.75" customHeight="1" s="35">
      <c r="A81" s="18" t="n"/>
      <c r="B81" s="18" t="n"/>
      <c r="C81" s="18" t="n"/>
      <c r="D81" s="18" t="n"/>
    </row>
    <row r="82" ht="15.75" customHeight="1" s="35">
      <c r="A82" s="18" t="n"/>
      <c r="B82" s="18" t="n"/>
      <c r="C82" s="18" t="n"/>
      <c r="D82" s="18" t="n"/>
    </row>
    <row r="83" ht="15.75" customHeight="1" s="35">
      <c r="A83" s="18" t="n"/>
      <c r="B83" s="18" t="n"/>
      <c r="C83" s="18" t="n"/>
      <c r="D83" s="18" t="n"/>
    </row>
    <row r="84" ht="15.75" customHeight="1" s="35">
      <c r="A84" s="18" t="n"/>
      <c r="B84" s="18" t="n"/>
      <c r="C84" s="18" t="n"/>
      <c r="D84" s="18" t="n"/>
    </row>
    <row r="85" ht="15.75" customHeight="1" s="35">
      <c r="A85" s="18" t="n"/>
      <c r="B85" s="18" t="n"/>
      <c r="C85" s="18" t="n"/>
      <c r="D85" s="18" t="n"/>
    </row>
    <row r="86" ht="15.75" customHeight="1" s="35">
      <c r="A86" s="18" t="n"/>
      <c r="B86" s="18" t="n"/>
      <c r="C86" s="18" t="n"/>
      <c r="D86" s="18" t="n"/>
    </row>
    <row r="87" ht="15.75" customHeight="1" s="35">
      <c r="A87" s="18" t="n"/>
      <c r="B87" s="18" t="n"/>
      <c r="C87" s="18" t="n"/>
      <c r="D87" s="18" t="n"/>
    </row>
    <row r="88" ht="15.75" customHeight="1" s="35">
      <c r="A88" s="18" t="n"/>
      <c r="B88" s="18" t="n"/>
      <c r="C88" s="18" t="n"/>
      <c r="D88" s="18" t="n"/>
    </row>
    <row r="89" ht="15.75" customHeight="1" s="35">
      <c r="A89" s="18" t="n"/>
      <c r="B89" s="18" t="n"/>
      <c r="C89" s="18" t="n"/>
      <c r="D89" s="18" t="n"/>
    </row>
    <row r="90" ht="15.75" customHeight="1" s="35">
      <c r="A90" s="18" t="n"/>
      <c r="B90" s="18" t="n"/>
      <c r="C90" s="18" t="n"/>
      <c r="D90" s="18" t="n"/>
    </row>
    <row r="91" ht="15.75" customHeight="1" s="35">
      <c r="A91" s="18" t="n"/>
      <c r="B91" s="18" t="n"/>
      <c r="C91" s="18" t="n"/>
      <c r="D91" s="18" t="n"/>
    </row>
    <row r="92" ht="15.75" customHeight="1" s="35">
      <c r="A92" s="18" t="n"/>
      <c r="B92" s="18" t="n"/>
      <c r="C92" s="18" t="n"/>
      <c r="D92" s="18" t="n"/>
    </row>
    <row r="93" ht="15.75" customHeight="1" s="35">
      <c r="A93" s="18" t="n"/>
      <c r="B93" s="18" t="n"/>
      <c r="C93" s="18" t="n"/>
      <c r="D93" s="18" t="n"/>
    </row>
    <row r="94" ht="15.75" customHeight="1" s="35">
      <c r="A94" s="18" t="n"/>
      <c r="B94" s="18" t="n"/>
      <c r="C94" s="18" t="n"/>
      <c r="D94" s="18" t="n"/>
    </row>
    <row r="95" ht="15.75" customHeight="1" s="35">
      <c r="A95" s="18" t="n"/>
      <c r="B95" s="18" t="n"/>
      <c r="C95" s="18" t="n"/>
      <c r="D95" s="18" t="n"/>
    </row>
    <row r="96" ht="15.75" customHeight="1" s="35">
      <c r="A96" s="18" t="n"/>
      <c r="B96" s="18" t="n"/>
      <c r="C96" s="18" t="n"/>
      <c r="D96" s="18" t="n"/>
    </row>
    <row r="97" ht="15.75" customHeight="1" s="35">
      <c r="A97" s="18" t="n"/>
      <c r="B97" s="18" t="n"/>
      <c r="C97" s="18" t="n"/>
      <c r="D97" s="18" t="n"/>
    </row>
    <row r="98" ht="15.75" customHeight="1" s="35">
      <c r="A98" s="18" t="n"/>
      <c r="B98" s="18" t="n"/>
      <c r="C98" s="18" t="n"/>
      <c r="D98" s="18" t="n"/>
    </row>
    <row r="99" ht="15.75" customHeight="1" s="35">
      <c r="A99" s="18" t="n"/>
      <c r="B99" s="18" t="n"/>
      <c r="C99" s="18" t="n"/>
      <c r="D99" s="18" t="n"/>
    </row>
    <row r="100" ht="15.75" customHeight="1" s="35">
      <c r="A100" s="18" t="n"/>
      <c r="B100" s="18" t="n"/>
      <c r="C100" s="18" t="n"/>
      <c r="D100" s="18" t="n"/>
    </row>
    <row r="101" ht="15.75" customHeight="1" s="35">
      <c r="A101" s="18" t="n"/>
      <c r="B101" s="18" t="n"/>
      <c r="C101" s="18" t="n"/>
      <c r="D101" s="18" t="n"/>
    </row>
    <row r="102" ht="15.75" customHeight="1" s="35">
      <c r="A102" s="18" t="n"/>
      <c r="B102" s="18" t="n"/>
      <c r="C102" s="18" t="n"/>
      <c r="D102" s="18" t="n"/>
    </row>
    <row r="103" ht="15.75" customHeight="1" s="35">
      <c r="A103" s="18" t="n"/>
      <c r="B103" s="18" t="n"/>
      <c r="C103" s="18" t="n"/>
      <c r="D103" s="18" t="n"/>
    </row>
    <row r="104" ht="15.75" customHeight="1" s="35">
      <c r="A104" s="18" t="n"/>
      <c r="B104" s="18" t="n"/>
      <c r="C104" s="18" t="n"/>
      <c r="D104" s="18" t="n"/>
    </row>
    <row r="105" ht="15.75" customHeight="1" s="35">
      <c r="A105" s="18" t="n"/>
      <c r="B105" s="18" t="n"/>
      <c r="C105" s="18" t="n"/>
      <c r="D105" s="18" t="n"/>
    </row>
    <row r="106" ht="15.75" customHeight="1" s="35">
      <c r="A106" s="18" t="n"/>
      <c r="B106" s="18" t="n"/>
      <c r="C106" s="18" t="n"/>
      <c r="D106" s="18" t="n"/>
    </row>
    <row r="107" ht="15.75" customHeight="1" s="35">
      <c r="A107" s="18" t="n"/>
      <c r="B107" s="18" t="n"/>
      <c r="C107" s="18" t="n"/>
      <c r="D107" s="18" t="n"/>
    </row>
    <row r="108" ht="15.75" customHeight="1" s="35">
      <c r="A108" s="18" t="n"/>
      <c r="B108" s="18" t="n"/>
      <c r="C108" s="18" t="n"/>
      <c r="D108" s="18" t="n"/>
    </row>
    <row r="109" ht="15.75" customHeight="1" s="35">
      <c r="A109" s="18" t="n"/>
      <c r="B109" s="18" t="n"/>
      <c r="C109" s="18" t="n"/>
      <c r="D109" s="18" t="n"/>
    </row>
    <row r="110" ht="15.75" customHeight="1" s="35">
      <c r="A110" s="18" t="n"/>
      <c r="B110" s="18" t="n"/>
      <c r="C110" s="18" t="n"/>
      <c r="D110" s="18" t="n"/>
    </row>
    <row r="111" ht="15.75" customHeight="1" s="35">
      <c r="A111" s="18" t="n"/>
      <c r="B111" s="18" t="n"/>
      <c r="C111" s="18" t="n"/>
      <c r="D111" s="18" t="n"/>
    </row>
    <row r="112" ht="15.75" customHeight="1" s="35">
      <c r="A112" s="18" t="n"/>
      <c r="B112" s="18" t="n"/>
      <c r="C112" s="18" t="n"/>
      <c r="D112" s="18" t="n"/>
    </row>
    <row r="113" ht="15.75" customHeight="1" s="35">
      <c r="A113" s="18" t="n"/>
      <c r="B113" s="18" t="n"/>
      <c r="C113" s="18" t="n"/>
      <c r="D113" s="18" t="n"/>
    </row>
    <row r="114" ht="15.75" customHeight="1" s="35">
      <c r="A114" s="18" t="n"/>
      <c r="B114" s="18" t="n"/>
      <c r="C114" s="18" t="n"/>
      <c r="D114" s="18" t="n"/>
    </row>
    <row r="115" ht="15.75" customHeight="1" s="35">
      <c r="A115" s="18" t="n"/>
      <c r="B115" s="18" t="n"/>
      <c r="C115" s="18" t="n"/>
      <c r="D115" s="18" t="n"/>
    </row>
    <row r="116" ht="15.75" customHeight="1" s="35">
      <c r="A116" s="18" t="n"/>
      <c r="B116" s="18" t="n"/>
      <c r="C116" s="18" t="n"/>
      <c r="D116" s="18" t="n"/>
    </row>
    <row r="117" ht="15.75" customHeight="1" s="35">
      <c r="A117" s="18" t="n"/>
      <c r="B117" s="18" t="n"/>
      <c r="C117" s="18" t="n"/>
      <c r="D117" s="18" t="n"/>
    </row>
    <row r="118" ht="15.75" customHeight="1" s="35">
      <c r="A118" s="18" t="n"/>
      <c r="B118" s="18" t="n"/>
      <c r="C118" s="18" t="n"/>
      <c r="D118" s="18" t="n"/>
    </row>
    <row r="119" ht="15.75" customHeight="1" s="35">
      <c r="A119" s="18" t="n"/>
      <c r="B119" s="18" t="n"/>
      <c r="C119" s="18" t="n"/>
      <c r="D119" s="18" t="n"/>
    </row>
    <row r="120" ht="15.75" customHeight="1" s="35">
      <c r="A120" s="18" t="n"/>
      <c r="B120" s="18" t="n"/>
      <c r="C120" s="18" t="n"/>
      <c r="D120" s="18" t="n"/>
    </row>
    <row r="121" ht="15.75" customHeight="1" s="35">
      <c r="A121" s="18" t="n"/>
      <c r="B121" s="18" t="n"/>
      <c r="C121" s="18" t="n"/>
      <c r="D121" s="18" t="n"/>
    </row>
    <row r="122" ht="15.75" customHeight="1" s="35">
      <c r="A122" s="18" t="n"/>
      <c r="B122" s="18" t="n"/>
      <c r="C122" s="18" t="n"/>
      <c r="D122" s="18" t="n"/>
    </row>
    <row r="123" ht="15.75" customHeight="1" s="35">
      <c r="A123" s="18" t="n"/>
      <c r="B123" s="18" t="n"/>
      <c r="C123" s="18" t="n"/>
      <c r="D123" s="18" t="n"/>
    </row>
    <row r="124" ht="15.75" customHeight="1" s="35">
      <c r="A124" s="18" t="n"/>
      <c r="B124" s="18" t="n"/>
      <c r="C124" s="18" t="n"/>
      <c r="D124" s="18" t="n"/>
    </row>
    <row r="125" ht="15.75" customHeight="1" s="35">
      <c r="A125" s="18" t="n"/>
      <c r="B125" s="18" t="n"/>
      <c r="C125" s="18" t="n"/>
      <c r="D125" s="18" t="n"/>
    </row>
    <row r="126" ht="15.75" customHeight="1" s="35">
      <c r="A126" s="18" t="n"/>
      <c r="B126" s="18" t="n"/>
      <c r="C126" s="18" t="n"/>
      <c r="D126" s="18" t="n"/>
    </row>
    <row r="127" ht="15.75" customHeight="1" s="35">
      <c r="A127" s="18" t="n"/>
      <c r="B127" s="18" t="n"/>
      <c r="C127" s="18" t="n"/>
      <c r="D127" s="18" t="n"/>
    </row>
    <row r="128" ht="15.75" customHeight="1" s="35">
      <c r="A128" s="18" t="n"/>
      <c r="B128" s="18" t="n"/>
      <c r="C128" s="18" t="n"/>
      <c r="D128" s="18" t="n"/>
    </row>
    <row r="129" ht="15.75" customHeight="1" s="35">
      <c r="A129" s="18" t="n"/>
      <c r="B129" s="18" t="n"/>
      <c r="C129" s="18" t="n"/>
      <c r="D129" s="18" t="n"/>
    </row>
    <row r="130" ht="15.75" customHeight="1" s="35">
      <c r="A130" s="18" t="n"/>
      <c r="B130" s="18" t="n"/>
      <c r="C130" s="18" t="n"/>
      <c r="D130" s="18" t="n"/>
    </row>
    <row r="131" ht="15.75" customHeight="1" s="35">
      <c r="A131" s="18" t="n"/>
      <c r="B131" s="18" t="n"/>
      <c r="C131" s="18" t="n"/>
      <c r="D131" s="18" t="n"/>
    </row>
    <row r="132" ht="15.75" customHeight="1" s="35">
      <c r="A132" s="18" t="n"/>
      <c r="B132" s="18" t="n"/>
      <c r="C132" s="18" t="n"/>
      <c r="D132" s="18" t="n"/>
    </row>
    <row r="133" ht="15.75" customHeight="1" s="35">
      <c r="A133" s="18" t="n"/>
      <c r="B133" s="18" t="n"/>
      <c r="C133" s="18" t="n"/>
      <c r="D133" s="18" t="n"/>
    </row>
    <row r="134" ht="15.75" customHeight="1" s="35">
      <c r="A134" s="18" t="n"/>
      <c r="B134" s="18" t="n"/>
      <c r="C134" s="18" t="n"/>
      <c r="D134" s="18" t="n"/>
    </row>
    <row r="135" ht="15.75" customHeight="1" s="35">
      <c r="A135" s="18" t="n"/>
      <c r="B135" s="18" t="n"/>
      <c r="C135" s="18" t="n"/>
      <c r="D135" s="18" t="n"/>
    </row>
    <row r="136" ht="15.75" customHeight="1" s="35">
      <c r="A136" s="18" t="n"/>
      <c r="B136" s="18" t="n"/>
      <c r="C136" s="18" t="n"/>
      <c r="D136" s="18" t="n"/>
    </row>
    <row r="137" ht="15.75" customHeight="1" s="35">
      <c r="A137" s="18" t="n"/>
      <c r="B137" s="18" t="n"/>
      <c r="C137" s="18" t="n"/>
      <c r="D137" s="18" t="n"/>
    </row>
    <row r="138" ht="15.75" customHeight="1" s="35">
      <c r="A138" s="18" t="n"/>
      <c r="B138" s="18" t="n"/>
      <c r="C138" s="18" t="n"/>
      <c r="D138" s="18" t="n"/>
    </row>
    <row r="139" ht="15.75" customHeight="1" s="35">
      <c r="A139" s="18" t="n"/>
      <c r="B139" s="18" t="n"/>
      <c r="C139" s="18" t="n"/>
      <c r="D139" s="18" t="n"/>
    </row>
    <row r="140" ht="15.75" customHeight="1" s="35">
      <c r="A140" s="18" t="n"/>
      <c r="B140" s="18" t="n"/>
      <c r="C140" s="18" t="n"/>
      <c r="D140" s="18" t="n"/>
    </row>
    <row r="141" ht="15.75" customHeight="1" s="35">
      <c r="A141" s="18" t="n"/>
      <c r="B141" s="18" t="n"/>
      <c r="C141" s="18" t="n"/>
      <c r="D141" s="18" t="n"/>
    </row>
    <row r="142" ht="15.75" customHeight="1" s="35">
      <c r="A142" s="18" t="n"/>
      <c r="B142" s="18" t="n"/>
      <c r="C142" s="18" t="n"/>
      <c r="D142" s="18" t="n"/>
    </row>
    <row r="143" ht="15.75" customHeight="1" s="35">
      <c r="A143" s="18" t="n"/>
      <c r="B143" s="18" t="n"/>
      <c r="C143" s="18" t="n"/>
      <c r="D143" s="18" t="n"/>
    </row>
    <row r="144" ht="15.75" customHeight="1" s="35">
      <c r="A144" s="18" t="n"/>
      <c r="B144" s="18" t="n"/>
      <c r="C144" s="18" t="n"/>
      <c r="D144" s="18" t="n"/>
    </row>
    <row r="145" ht="15.75" customHeight="1" s="35">
      <c r="A145" s="18" t="n"/>
      <c r="B145" s="18" t="n"/>
      <c r="C145" s="18" t="n"/>
      <c r="D145" s="18" t="n"/>
    </row>
    <row r="146" ht="15.75" customHeight="1" s="35">
      <c r="A146" s="18" t="n"/>
      <c r="B146" s="18" t="n"/>
      <c r="C146" s="18" t="n"/>
      <c r="D146" s="18" t="n"/>
    </row>
    <row r="147" ht="15.75" customHeight="1" s="35">
      <c r="A147" s="18" t="n"/>
      <c r="B147" s="18" t="n"/>
      <c r="C147" s="18" t="n"/>
      <c r="D147" s="18" t="n"/>
    </row>
    <row r="148" ht="15.75" customHeight="1" s="35">
      <c r="A148" s="18" t="n"/>
      <c r="B148" s="18" t="n"/>
      <c r="C148" s="18" t="n"/>
      <c r="D148" s="18" t="n"/>
    </row>
    <row r="149" ht="15.75" customHeight="1" s="35">
      <c r="A149" s="18" t="n"/>
      <c r="B149" s="18" t="n"/>
      <c r="C149" s="18" t="n"/>
      <c r="D149" s="18" t="n"/>
    </row>
    <row r="150" ht="15.75" customHeight="1" s="35">
      <c r="A150" s="18" t="n"/>
      <c r="B150" s="18" t="n"/>
      <c r="C150" s="18" t="n"/>
      <c r="D150" s="18" t="n"/>
    </row>
    <row r="151" ht="15.75" customHeight="1" s="35">
      <c r="A151" s="18" t="n"/>
      <c r="B151" s="18" t="n"/>
      <c r="C151" s="18" t="n"/>
      <c r="D151" s="18" t="n"/>
    </row>
    <row r="152" ht="15.75" customHeight="1" s="35">
      <c r="A152" s="18" t="n"/>
      <c r="B152" s="18" t="n"/>
      <c r="C152" s="18" t="n"/>
      <c r="D152" s="18" t="n"/>
    </row>
    <row r="153" ht="15.75" customHeight="1" s="35">
      <c r="A153" s="18" t="n"/>
      <c r="B153" s="18" t="n"/>
      <c r="C153" s="18" t="n"/>
      <c r="D153" s="18" t="n"/>
    </row>
    <row r="154" ht="15.75" customHeight="1" s="35">
      <c r="A154" s="18" t="n"/>
      <c r="B154" s="18" t="n"/>
      <c r="C154" s="18" t="n"/>
      <c r="D154" s="18" t="n"/>
    </row>
    <row r="155" ht="15.75" customHeight="1" s="35">
      <c r="A155" s="18" t="n"/>
      <c r="B155" s="18" t="n"/>
      <c r="C155" s="18" t="n"/>
      <c r="D155" s="18" t="n"/>
    </row>
    <row r="156" ht="15.75" customHeight="1" s="35">
      <c r="A156" s="18" t="n"/>
      <c r="B156" s="18" t="n"/>
      <c r="C156" s="18" t="n"/>
      <c r="D156" s="18" t="n"/>
    </row>
    <row r="157" ht="15.75" customHeight="1" s="35">
      <c r="A157" s="18" t="n"/>
      <c r="B157" s="18" t="n"/>
      <c r="C157" s="18" t="n"/>
      <c r="D157" s="18" t="n"/>
    </row>
    <row r="158" ht="15.75" customHeight="1" s="35">
      <c r="A158" s="18" t="n"/>
      <c r="B158" s="18" t="n"/>
      <c r="C158" s="18" t="n"/>
      <c r="D158" s="18" t="n"/>
    </row>
    <row r="159" ht="15.75" customHeight="1" s="35">
      <c r="A159" s="18" t="n"/>
      <c r="B159" s="18" t="n"/>
      <c r="C159" s="18" t="n"/>
      <c r="D159" s="18" t="n"/>
    </row>
    <row r="160" ht="15.75" customHeight="1" s="35">
      <c r="A160" s="18" t="n"/>
      <c r="B160" s="18" t="n"/>
      <c r="C160" s="18" t="n"/>
      <c r="D160" s="18" t="n"/>
    </row>
    <row r="161" ht="15.75" customHeight="1" s="35">
      <c r="A161" s="18" t="n"/>
      <c r="B161" s="18" t="n"/>
      <c r="C161" s="18" t="n"/>
      <c r="D161" s="18" t="n"/>
    </row>
    <row r="162" ht="15.75" customHeight="1" s="35">
      <c r="A162" s="18" t="n"/>
      <c r="B162" s="18" t="n"/>
      <c r="C162" s="18" t="n"/>
      <c r="D162" s="18" t="n"/>
    </row>
    <row r="163" ht="15.75" customHeight="1" s="35">
      <c r="A163" s="18" t="n"/>
      <c r="B163" s="18" t="n"/>
      <c r="C163" s="18" t="n"/>
      <c r="D163" s="18" t="n"/>
    </row>
    <row r="164" ht="15.75" customHeight="1" s="35">
      <c r="A164" s="18" t="n"/>
      <c r="B164" s="18" t="n"/>
      <c r="C164" s="18" t="n"/>
      <c r="D164" s="18" t="n"/>
    </row>
    <row r="165" ht="15.75" customHeight="1" s="35">
      <c r="A165" s="18" t="n"/>
      <c r="B165" s="18" t="n"/>
      <c r="C165" s="18" t="n"/>
      <c r="D165" s="18" t="n"/>
    </row>
    <row r="166" ht="15.75" customHeight="1" s="35">
      <c r="A166" s="18" t="n"/>
      <c r="B166" s="18" t="n"/>
      <c r="C166" s="18" t="n"/>
      <c r="D166" s="18" t="n"/>
    </row>
    <row r="167" ht="15.75" customHeight="1" s="35">
      <c r="A167" s="18" t="n"/>
      <c r="B167" s="18" t="n"/>
      <c r="C167" s="18" t="n"/>
      <c r="D167" s="18" t="n"/>
    </row>
    <row r="168" ht="15.75" customHeight="1" s="35">
      <c r="A168" s="18" t="n"/>
      <c r="B168" s="18" t="n"/>
      <c r="C168" s="18" t="n"/>
      <c r="D168" s="18" t="n"/>
    </row>
    <row r="169" ht="15.75" customHeight="1" s="35">
      <c r="A169" s="18" t="n"/>
      <c r="B169" s="18" t="n"/>
      <c r="C169" s="18" t="n"/>
      <c r="D169" s="18" t="n"/>
    </row>
    <row r="170" ht="15.75" customHeight="1" s="35">
      <c r="A170" s="18" t="n"/>
      <c r="B170" s="18" t="n"/>
      <c r="C170" s="18" t="n"/>
      <c r="D170" s="18" t="n"/>
    </row>
    <row r="171" ht="15.75" customHeight="1" s="35">
      <c r="A171" s="18" t="n"/>
      <c r="B171" s="18" t="n"/>
      <c r="C171" s="18" t="n"/>
      <c r="D171" s="18" t="n"/>
    </row>
    <row r="172" ht="15.75" customHeight="1" s="35">
      <c r="A172" s="18" t="n"/>
      <c r="B172" s="18" t="n"/>
      <c r="C172" s="18" t="n"/>
      <c r="D172" s="18" t="n"/>
    </row>
    <row r="173" ht="15.75" customHeight="1" s="35">
      <c r="A173" s="18" t="n"/>
      <c r="B173" s="18" t="n"/>
      <c r="C173" s="18" t="n"/>
      <c r="D173" s="18" t="n"/>
    </row>
    <row r="174" ht="15.75" customHeight="1" s="35">
      <c r="A174" s="18" t="n"/>
      <c r="B174" s="18" t="n"/>
      <c r="C174" s="18" t="n"/>
      <c r="D174" s="18" t="n"/>
    </row>
    <row r="175" ht="15.75" customHeight="1" s="35">
      <c r="A175" s="18" t="n"/>
      <c r="B175" s="18" t="n"/>
      <c r="C175" s="18" t="n"/>
      <c r="D175" s="18" t="n"/>
    </row>
    <row r="176" ht="15.75" customHeight="1" s="35">
      <c r="A176" s="18" t="n"/>
      <c r="B176" s="18" t="n"/>
      <c r="C176" s="18" t="n"/>
      <c r="D176" s="18" t="n"/>
    </row>
    <row r="177" ht="15.75" customHeight="1" s="35">
      <c r="A177" s="18" t="n"/>
      <c r="B177" s="18" t="n"/>
      <c r="C177" s="18" t="n"/>
      <c r="D177" s="18" t="n"/>
    </row>
    <row r="178" ht="15.75" customHeight="1" s="35">
      <c r="A178" s="18" t="n"/>
      <c r="B178" s="18" t="n"/>
      <c r="C178" s="18" t="n"/>
      <c r="D178" s="18" t="n"/>
    </row>
    <row r="179" ht="15.75" customHeight="1" s="35">
      <c r="A179" s="18" t="n"/>
      <c r="B179" s="18" t="n"/>
      <c r="C179" s="18" t="n"/>
      <c r="D179" s="18" t="n"/>
    </row>
    <row r="180" ht="15.75" customHeight="1" s="35">
      <c r="A180" s="18" t="n"/>
      <c r="B180" s="18" t="n"/>
      <c r="C180" s="18" t="n"/>
      <c r="D180" s="18" t="n"/>
    </row>
    <row r="181" ht="15.75" customHeight="1" s="35">
      <c r="A181" s="18" t="n"/>
      <c r="B181" s="18" t="n"/>
      <c r="C181" s="18" t="n"/>
      <c r="D181" s="18" t="n"/>
    </row>
    <row r="182" ht="15.75" customHeight="1" s="35">
      <c r="A182" s="18" t="n"/>
      <c r="B182" s="18" t="n"/>
      <c r="C182" s="18" t="n"/>
      <c r="D182" s="18" t="n"/>
    </row>
    <row r="183" ht="15.75" customHeight="1" s="35">
      <c r="A183" s="18" t="n"/>
      <c r="B183" s="18" t="n"/>
      <c r="C183" s="18" t="n"/>
      <c r="D183" s="18" t="n"/>
    </row>
    <row r="184" ht="15.75" customHeight="1" s="35">
      <c r="A184" s="18" t="n"/>
      <c r="B184" s="18" t="n"/>
      <c r="C184" s="18" t="n"/>
      <c r="D184" s="18" t="n"/>
    </row>
    <row r="185" ht="15.75" customHeight="1" s="35">
      <c r="A185" s="18" t="n"/>
      <c r="B185" s="18" t="n"/>
      <c r="C185" s="18" t="n"/>
      <c r="D185" s="18" t="n"/>
    </row>
    <row r="186" ht="15.75" customHeight="1" s="35">
      <c r="A186" s="18" t="n"/>
      <c r="B186" s="18" t="n"/>
      <c r="C186" s="18" t="n"/>
      <c r="D186" s="18" t="n"/>
    </row>
    <row r="187" ht="15.75" customHeight="1" s="35">
      <c r="A187" s="18" t="n"/>
      <c r="B187" s="18" t="n"/>
      <c r="C187" s="18" t="n"/>
      <c r="D187" s="18" t="n"/>
    </row>
    <row r="188" ht="15.75" customHeight="1" s="35">
      <c r="A188" s="18" t="n"/>
      <c r="B188" s="18" t="n"/>
      <c r="C188" s="18" t="n"/>
      <c r="D188" s="18" t="n"/>
    </row>
    <row r="189" ht="15.75" customHeight="1" s="35">
      <c r="A189" s="18" t="n"/>
      <c r="B189" s="18" t="n"/>
      <c r="C189" s="18" t="n"/>
      <c r="D189" s="18" t="n"/>
    </row>
    <row r="190" ht="15.75" customHeight="1" s="35">
      <c r="A190" s="18" t="n"/>
      <c r="B190" s="18" t="n"/>
      <c r="C190" s="18" t="n"/>
      <c r="D190" s="18" t="n"/>
    </row>
    <row r="191" ht="15.75" customHeight="1" s="35">
      <c r="A191" s="18" t="n"/>
      <c r="B191" s="18" t="n"/>
      <c r="C191" s="18" t="n"/>
      <c r="D191" s="18" t="n"/>
    </row>
    <row r="192" ht="15.75" customHeight="1" s="35">
      <c r="A192" s="18" t="n"/>
      <c r="B192" s="18" t="n"/>
      <c r="C192" s="18" t="n"/>
      <c r="D192" s="18" t="n"/>
    </row>
    <row r="193" ht="15.75" customHeight="1" s="35">
      <c r="A193" s="18" t="n"/>
      <c r="B193" s="18" t="n"/>
      <c r="C193" s="18" t="n"/>
      <c r="D193" s="18" t="n"/>
    </row>
    <row r="194" ht="15.75" customHeight="1" s="35">
      <c r="A194" s="18" t="n"/>
      <c r="B194" s="18" t="n"/>
      <c r="C194" s="18" t="n"/>
      <c r="D194" s="18" t="n"/>
    </row>
    <row r="195" ht="15.75" customHeight="1" s="35">
      <c r="A195" s="18" t="n"/>
      <c r="B195" s="18" t="n"/>
      <c r="C195" s="18" t="n"/>
      <c r="D195" s="18" t="n"/>
    </row>
    <row r="196" ht="15.75" customHeight="1" s="35">
      <c r="A196" s="18" t="n"/>
      <c r="B196" s="18" t="n"/>
      <c r="C196" s="18" t="n"/>
      <c r="D196" s="18" t="n"/>
    </row>
    <row r="197" ht="15.75" customHeight="1" s="35">
      <c r="A197" s="18" t="n"/>
      <c r="B197" s="18" t="n"/>
      <c r="C197" s="18" t="n"/>
      <c r="D197" s="18" t="n"/>
    </row>
    <row r="198" ht="15.75" customHeight="1" s="35">
      <c r="A198" s="18" t="n"/>
      <c r="B198" s="18" t="n"/>
      <c r="C198" s="18" t="n"/>
      <c r="D198" s="18" t="n"/>
    </row>
    <row r="199" ht="15.75" customHeight="1" s="35">
      <c r="A199" s="18" t="n"/>
      <c r="B199" s="18" t="n"/>
      <c r="C199" s="18" t="n"/>
      <c r="D199" s="18" t="n"/>
    </row>
    <row r="200" ht="15.75" customHeight="1" s="35">
      <c r="A200" s="18" t="n"/>
      <c r="B200" s="18" t="n"/>
      <c r="C200" s="18" t="n"/>
      <c r="D200" s="18" t="n"/>
    </row>
    <row r="201" ht="15.75" customHeight="1" s="35">
      <c r="A201" s="18" t="n"/>
      <c r="B201" s="18" t="n"/>
      <c r="C201" s="18" t="n"/>
      <c r="D201" s="18" t="n"/>
    </row>
    <row r="202" ht="15.75" customHeight="1" s="35">
      <c r="A202" s="18" t="n"/>
      <c r="B202" s="18" t="n"/>
      <c r="C202" s="18" t="n"/>
      <c r="D202" s="18" t="n"/>
    </row>
    <row r="203" ht="15.75" customHeight="1" s="35">
      <c r="A203" s="18" t="n"/>
      <c r="B203" s="18" t="n"/>
      <c r="C203" s="18" t="n"/>
      <c r="D203" s="18" t="n"/>
    </row>
    <row r="204" ht="15.75" customHeight="1" s="35">
      <c r="A204" s="18" t="n"/>
      <c r="B204" s="18" t="n"/>
      <c r="C204" s="18" t="n"/>
      <c r="D204" s="18" t="n"/>
    </row>
    <row r="205" ht="15.75" customHeight="1" s="35">
      <c r="A205" s="18" t="n"/>
      <c r="B205" s="18" t="n"/>
      <c r="C205" s="18" t="n"/>
      <c r="D205" s="18" t="n"/>
    </row>
    <row r="206" ht="15.75" customHeight="1" s="35">
      <c r="A206" s="18" t="n"/>
      <c r="B206" s="18" t="n"/>
      <c r="C206" s="18" t="n"/>
      <c r="D206" s="18" t="n"/>
    </row>
    <row r="207" ht="15.75" customHeight="1" s="35">
      <c r="A207" s="18" t="n"/>
      <c r="B207" s="18" t="n"/>
      <c r="C207" s="18" t="n"/>
      <c r="D207" s="18" t="n"/>
    </row>
    <row r="208" ht="15.75" customHeight="1" s="35">
      <c r="A208" s="18" t="n"/>
      <c r="B208" s="18" t="n"/>
      <c r="C208" s="18" t="n"/>
      <c r="D208" s="18" t="n"/>
    </row>
    <row r="209" ht="15.75" customHeight="1" s="35">
      <c r="A209" s="18" t="n"/>
      <c r="B209" s="18" t="n"/>
      <c r="C209" s="18" t="n"/>
      <c r="D209" s="18" t="n"/>
    </row>
    <row r="210" ht="15.75" customHeight="1" s="35">
      <c r="A210" s="18" t="n"/>
      <c r="B210" s="18" t="n"/>
      <c r="C210" s="18" t="n"/>
      <c r="D210" s="18" t="n"/>
    </row>
    <row r="211" ht="15.75" customHeight="1" s="35">
      <c r="A211" s="18" t="n"/>
      <c r="B211" s="18" t="n"/>
      <c r="C211" s="18" t="n"/>
      <c r="D211" s="18" t="n"/>
    </row>
    <row r="212" ht="15.75" customHeight="1" s="35">
      <c r="A212" s="18" t="n"/>
      <c r="B212" s="18" t="n"/>
      <c r="C212" s="18" t="n"/>
      <c r="D212" s="18" t="n"/>
    </row>
    <row r="213" ht="15.75" customHeight="1" s="35">
      <c r="A213" s="18" t="n"/>
      <c r="B213" s="18" t="n"/>
      <c r="C213" s="18" t="n"/>
      <c r="D213" s="18" t="n"/>
    </row>
    <row r="214" ht="15.75" customHeight="1" s="35">
      <c r="A214" s="18" t="n"/>
      <c r="B214" s="18" t="n"/>
      <c r="C214" s="18" t="n"/>
      <c r="D214" s="18" t="n"/>
    </row>
    <row r="215" ht="15.75" customHeight="1" s="35">
      <c r="A215" s="18" t="n"/>
      <c r="B215" s="18" t="n"/>
      <c r="C215" s="18" t="n"/>
      <c r="D215" s="18" t="n"/>
    </row>
    <row r="216" ht="15.75" customHeight="1" s="35">
      <c r="A216" s="18" t="n"/>
      <c r="B216" s="18" t="n"/>
      <c r="C216" s="18" t="n"/>
      <c r="D216" s="18" t="n"/>
    </row>
    <row r="217" ht="15.75" customHeight="1" s="35">
      <c r="A217" s="18" t="n"/>
      <c r="B217" s="18" t="n"/>
      <c r="C217" s="18" t="n"/>
      <c r="D217" s="18" t="n"/>
    </row>
    <row r="218" ht="15.75" customHeight="1" s="35">
      <c r="A218" s="18" t="n"/>
      <c r="B218" s="18" t="n"/>
      <c r="C218" s="18" t="n"/>
      <c r="D218" s="18" t="n"/>
    </row>
    <row r="219" ht="15.75" customHeight="1" s="35">
      <c r="A219" s="18" t="n"/>
      <c r="B219" s="18" t="n"/>
      <c r="C219" s="18" t="n"/>
      <c r="D219" s="18" t="n"/>
    </row>
    <row r="220" ht="15.75" customHeight="1" s="35">
      <c r="A220" s="18" t="n"/>
      <c r="B220" s="18" t="n"/>
      <c r="C220" s="18" t="n"/>
      <c r="D220" s="18" t="n"/>
    </row>
    <row r="221" ht="15.75" customHeight="1" s="35">
      <c r="A221" s="18" t="n"/>
      <c r="B221" s="18" t="n"/>
      <c r="C221" s="18" t="n"/>
      <c r="D221" s="18" t="n"/>
    </row>
    <row r="222" ht="15.75" customHeight="1" s="35">
      <c r="A222" s="18" t="n"/>
      <c r="B222" s="18" t="n"/>
      <c r="C222" s="18" t="n"/>
      <c r="D222" s="18" t="n"/>
    </row>
    <row r="223" ht="15.75" customHeight="1" s="35">
      <c r="A223" s="18" t="n"/>
      <c r="B223" s="18" t="n"/>
      <c r="C223" s="18" t="n"/>
      <c r="D223" s="18" t="n"/>
    </row>
    <row r="224" ht="15.75" customHeight="1" s="35">
      <c r="A224" s="18" t="n"/>
      <c r="B224" s="18" t="n"/>
      <c r="C224" s="18" t="n"/>
      <c r="D224" s="18" t="n"/>
    </row>
    <row r="225" ht="15.75" customHeight="1" s="35">
      <c r="A225" s="18" t="n"/>
      <c r="B225" s="18" t="n"/>
      <c r="C225" s="18" t="n"/>
      <c r="D225" s="18" t="n"/>
    </row>
    <row r="226" ht="15.75" customHeight="1" s="35">
      <c r="A226" s="18" t="n"/>
      <c r="B226" s="18" t="n"/>
      <c r="C226" s="18" t="n"/>
      <c r="D226" s="18" t="n"/>
    </row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5" min="1" max="1"/>
    <col width="16" customWidth="1" style="35" min="2" max="2"/>
    <col width="20" customWidth="1" style="35" min="3" max="3"/>
    <col width="22" customWidth="1" style="35" min="4" max="5"/>
    <col width="38" customWidth="1" style="35" min="6" max="6"/>
  </cols>
  <sheetData>
    <row r="1" ht="24" customHeight="1" s="35">
      <c r="A1" s="1" t="inlineStr">
        <is>
          <t>Long-haul flights · Air China</t>
        </is>
      </c>
    </row>
    <row r="2" ht="18" customHeight="1" s="35">
      <c r="A2" s="2" t="inlineStr">
        <is>
          <t>AKL → PEK → MUC outbound · MUC → PEK → AKL inbound</t>
        </is>
      </c>
    </row>
    <row r="3">
      <c r="A3" s="18" t="n"/>
      <c r="B3" s="18" t="n"/>
      <c r="C3" s="18" t="n"/>
      <c r="D3" s="18" t="n"/>
      <c r="E3" s="18" t="n"/>
      <c r="F3" s="18" t="n"/>
    </row>
    <row r="4" ht="15" customHeight="1" s="35">
      <c r="A4" s="4" t="inlineStr">
        <is>
          <t>Direction</t>
        </is>
      </c>
      <c r="B4" s="4" t="inlineStr">
        <is>
          <t>Flight</t>
        </is>
      </c>
      <c r="C4" s="4" t="inlineStr">
        <is>
          <t>Route</t>
        </is>
      </c>
      <c r="D4" s="4" t="inlineStr">
        <is>
          <t>Depart</t>
        </is>
      </c>
      <c r="E4" s="4" t="inlineStr">
        <is>
          <t>Arrive</t>
        </is>
      </c>
      <c r="F4" s="4" t="inlineStr">
        <is>
          <t>Aircraft / Notes</t>
        </is>
      </c>
    </row>
    <row r="5" ht="15" customHeight="1" s="35">
      <c r="A5" s="17" t="inlineStr">
        <is>
          <t>Outbound</t>
        </is>
      </c>
      <c r="B5" s="17" t="inlineStr">
        <is>
          <t>CA784</t>
        </is>
      </c>
      <c r="C5" s="17" t="inlineStr">
        <is>
          <t>AKL → PEK</t>
        </is>
      </c>
      <c r="D5" s="17" t="inlineStr">
        <is>
          <t>Thu 9 Jul · 19:30</t>
        </is>
      </c>
      <c r="E5" s="17" t="inlineStr">
        <is>
          <t>Fri 10 Jul · 04:40</t>
        </is>
      </c>
      <c r="F5" s="17" t="inlineStr">
        <is>
          <t>B787-900 · 13h 10m</t>
        </is>
      </c>
    </row>
    <row r="6" ht="15" customHeight="1" s="35">
      <c r="A6" s="9" t="inlineStr">
        <is>
          <t>Outbound</t>
        </is>
      </c>
      <c r="B6" s="9" t="inlineStr">
        <is>
          <t>— stopover —</t>
        </is>
      </c>
      <c r="C6" s="9" t="inlineStr">
        <is>
          <t>Beijing 22h 10m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Forbidden City + Tiananmen Square</t>
        </is>
      </c>
    </row>
    <row r="7" ht="15" customHeight="1" s="35">
      <c r="A7" s="17" t="inlineStr">
        <is>
          <t>Outbound</t>
        </is>
      </c>
      <c r="B7" s="17" t="inlineStr">
        <is>
          <t>CA961</t>
        </is>
      </c>
      <c r="C7" s="17" t="inlineStr">
        <is>
          <t>PEK → MUC</t>
        </is>
      </c>
      <c r="D7" s="17" t="inlineStr">
        <is>
          <t>Sat 11 Jul · 02:50</t>
        </is>
      </c>
      <c r="E7" s="17" t="inlineStr">
        <is>
          <t>Sat 11 Jul · 07:05</t>
        </is>
      </c>
      <c r="F7" s="17" t="inlineStr">
        <is>
          <t>B777-300ER · 10h 15m</t>
        </is>
      </c>
    </row>
    <row r="8" ht="15" customHeight="1" s="35">
      <c r="A8" s="17" t="inlineStr">
        <is>
          <t>Inbound</t>
        </is>
      </c>
      <c r="B8" s="17" t="inlineStr">
        <is>
          <t>CA962</t>
        </is>
      </c>
      <c r="C8" s="17" t="inlineStr">
        <is>
          <t>MUC → PEK</t>
        </is>
      </c>
      <c r="D8" s="17" t="inlineStr">
        <is>
          <t>Thu 6 Aug · 13:00</t>
        </is>
      </c>
      <c r="E8" s="17" t="inlineStr">
        <is>
          <t>Fri 7 Aug · 04:45</t>
        </is>
      </c>
      <c r="F8" s="17" t="inlineStr">
        <is>
          <t>9h 45m · check-in by 10:30</t>
        </is>
      </c>
    </row>
    <row r="9" ht="15" customHeight="1" s="35">
      <c r="A9" s="9" t="inlineStr">
        <is>
          <t>Inbound</t>
        </is>
      </c>
      <c r="B9" s="9" t="inlineStr">
        <is>
          <t>— stopover —</t>
        </is>
      </c>
      <c r="C9" s="9" t="inlineStr">
        <is>
          <t>Beijing 19h 20m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Great Wall at Mutianyu</t>
        </is>
      </c>
    </row>
    <row r="10" ht="15" customHeight="1" s="35">
      <c r="A10" s="17" t="inlineStr">
        <is>
          <t>Inbound</t>
        </is>
      </c>
      <c r="B10" s="17" t="inlineStr">
        <is>
          <t>CA783</t>
        </is>
      </c>
      <c r="C10" s="17" t="inlineStr">
        <is>
          <t>PEK → AKL</t>
        </is>
      </c>
      <c r="D10" s="17" t="inlineStr">
        <is>
          <t>Sat 8 Aug · 00:05</t>
        </is>
      </c>
      <c r="E10" s="17" t="inlineStr">
        <is>
          <t>Sat 8 Aug · 16:30</t>
        </is>
      </c>
      <c r="F10" s="17" t="inlineStr">
        <is>
          <t>12h 25m · home</t>
        </is>
      </c>
    </row>
    <row r="11">
      <c r="A11" s="18" t="n"/>
      <c r="B11" s="18" t="n"/>
      <c r="C11" s="18" t="n"/>
      <c r="D11" s="18" t="n"/>
      <c r="E11" s="18" t="n"/>
      <c r="F11" s="18" t="n"/>
    </row>
    <row r="12" ht="15" customHeight="1" s="35">
      <c r="A12" s="38" t="inlineStr">
        <is>
          <t>BEIJING STOPOVER NOTES</t>
        </is>
      </c>
    </row>
    <row r="13" ht="36" customHeight="1" s="35">
      <c r="A13" s="5" t="inlineStr">
        <is>
          <t>Outbound (10 Jul · 22 hrs)</t>
        </is>
      </c>
      <c r="B13" s="17" t="inlineStr">
        <is>
          <t>Land 04:40. Novotel T3 airside ~3hrs. Airport Express 08:00 → Dongzhimen (45min, ¥35). Forbidden City opens 08:30, allow 4hrs. Wangfujing lunch. Back T3 by midnight. CA961 02:50.</t>
        </is>
      </c>
      <c r="C13" s="39" t="n"/>
      <c r="D13" s="39" t="n"/>
      <c r="E13" s="39" t="n"/>
      <c r="F13" s="40" t="n"/>
    </row>
    <row r="14" ht="36" customHeight="1" s="35">
      <c r="A14" s="5" t="inlineStr">
        <is>
          <t>Inbound (7 Aug · 19 hrs)</t>
        </is>
      </c>
      <c r="B14" s="17" t="inlineStr">
        <is>
          <t>Land 04:45. Rest ~3hrs. Mutianyu Great Wall ~09:00 (taxi ~1.5hrs from T3). Cable car up, toboggan down. Back T3 by 21:00. CA783 00:05.</t>
        </is>
      </c>
      <c r="C14" s="39" t="n"/>
      <c r="D14" s="39" t="n"/>
      <c r="E14" s="39" t="n"/>
      <c r="F14" s="40" t="n"/>
    </row>
    <row r="15" ht="36" customHeight="1" s="35">
      <c r="A15" s="5" t="inlineStr">
        <is>
          <t>144-hr Visa-Free Transit</t>
        </is>
      </c>
      <c r="B15" s="17" t="inlineStr">
        <is>
          <t>NZ passport holders eligible. Confirm at nzembassy.com before departure.</t>
        </is>
      </c>
      <c r="C15" s="39" t="n"/>
      <c r="D15" s="39" t="n"/>
      <c r="E15" s="39" t="n"/>
      <c r="F15" s="40" t="n"/>
    </row>
    <row r="16" ht="36" customHeight="1" s="35">
      <c r="A16" s="5" t="inlineStr">
        <is>
          <t>Novotel T3</t>
        </is>
      </c>
      <c r="B16" s="17" t="inlineStr">
        <is>
          <t>Covered walkway to Terminal 3 — no visa needed to stay airside.</t>
        </is>
      </c>
      <c r="C16" s="39" t="n"/>
      <c r="D16" s="39" t="n"/>
      <c r="E16" s="39" t="n"/>
      <c r="F16" s="40" t="n"/>
    </row>
    <row r="17" ht="36" customHeight="1" s="35">
      <c r="A17" s="5" t="inlineStr">
        <is>
          <t>Airport Express</t>
        </is>
      </c>
      <c r="B17" s="17" t="inlineStr">
        <is>
          <t>T3 → Dongzhimen 45min, ¥35 (~NZD $8). Subway Line 1 to Tiananmen East (2 stops).</t>
        </is>
      </c>
      <c r="C17" s="39" t="n"/>
      <c r="D17" s="39" t="n"/>
      <c r="E17" s="39" t="n"/>
      <c r="F17" s="40" t="n"/>
    </row>
    <row r="18">
      <c r="A18" s="18" t="n"/>
      <c r="B18" s="18" t="n"/>
      <c r="C18" s="18" t="n"/>
      <c r="D18" s="18" t="n"/>
      <c r="E18" s="18" t="n"/>
      <c r="F18" s="18" t="n"/>
    </row>
    <row r="19">
      <c r="A19" s="18" t="n"/>
      <c r="B19" s="18" t="n"/>
      <c r="C19" s="18" t="n"/>
      <c r="D19" s="18" t="n"/>
      <c r="E19" s="18" t="n"/>
      <c r="F19" s="18" t="n"/>
    </row>
    <row r="20">
      <c r="A20" s="18" t="n"/>
      <c r="B20" s="18" t="n"/>
      <c r="C20" s="18" t="n"/>
      <c r="D20" s="18" t="n"/>
      <c r="E20" s="18" t="n"/>
      <c r="F20" s="18" t="n"/>
    </row>
    <row r="21" ht="15.75" customHeight="1" s="35">
      <c r="A21" s="18" t="n"/>
      <c r="B21" s="18" t="n"/>
      <c r="C21" s="18" t="n"/>
      <c r="D21" s="18" t="n"/>
      <c r="E21" s="18" t="n"/>
      <c r="F21" s="18" t="n"/>
    </row>
    <row r="22" ht="15.75" customHeight="1" s="35">
      <c r="A22" s="18" t="n"/>
      <c r="B22" s="18" t="n"/>
      <c r="C22" s="18" t="n"/>
      <c r="D22" s="18" t="n"/>
      <c r="E22" s="18" t="n"/>
      <c r="F22" s="18" t="n"/>
    </row>
    <row r="23" ht="15.75" customHeight="1" s="35">
      <c r="A23" s="18" t="n"/>
      <c r="B23" s="18" t="n"/>
      <c r="C23" s="18" t="n"/>
      <c r="D23" s="18" t="n"/>
      <c r="E23" s="18" t="n"/>
      <c r="F23" s="18" t="n"/>
    </row>
    <row r="24" ht="15.75" customHeight="1" s="35">
      <c r="A24" s="18" t="n"/>
      <c r="B24" s="18" t="n"/>
      <c r="C24" s="18" t="n"/>
      <c r="D24" s="18" t="n"/>
      <c r="E24" s="18" t="n"/>
      <c r="F24" s="18" t="n"/>
    </row>
    <row r="25" ht="15.75" customHeight="1" s="35">
      <c r="A25" s="18" t="n"/>
      <c r="B25" s="18" t="n"/>
      <c r="C25" s="18" t="n"/>
      <c r="D25" s="18" t="n"/>
      <c r="E25" s="18" t="n"/>
      <c r="F25" s="18" t="n"/>
    </row>
    <row r="26" ht="15.75" customHeight="1" s="35">
      <c r="A26" s="18" t="n"/>
      <c r="B26" s="18" t="n"/>
      <c r="C26" s="18" t="n"/>
      <c r="D26" s="18" t="n"/>
      <c r="E26" s="18" t="n"/>
      <c r="F26" s="18" t="n"/>
    </row>
    <row r="27" ht="15.75" customHeight="1" s="35">
      <c r="A27" s="18" t="n"/>
      <c r="B27" s="18" t="n"/>
      <c r="C27" s="18" t="n"/>
      <c r="D27" s="18" t="n"/>
      <c r="E27" s="18" t="n"/>
      <c r="F27" s="18" t="n"/>
    </row>
    <row r="28" ht="15.75" customHeight="1" s="35">
      <c r="A28" s="18" t="n"/>
      <c r="B28" s="18" t="n"/>
      <c r="C28" s="18" t="n"/>
      <c r="D28" s="18" t="n"/>
      <c r="E28" s="18" t="n"/>
      <c r="F28" s="18" t="n"/>
    </row>
    <row r="29" ht="15.75" customHeight="1" s="35">
      <c r="A29" s="18" t="n"/>
      <c r="B29" s="18" t="n"/>
      <c r="C29" s="18" t="n"/>
      <c r="D29" s="18" t="n"/>
      <c r="E29" s="18" t="n"/>
      <c r="F29" s="18" t="n"/>
    </row>
    <row r="30" ht="15.75" customHeight="1" s="35">
      <c r="A30" s="18" t="n"/>
      <c r="B30" s="18" t="n"/>
      <c r="C30" s="18" t="n"/>
      <c r="D30" s="18" t="n"/>
      <c r="E30" s="18" t="n"/>
      <c r="F30" s="18" t="n"/>
    </row>
    <row r="31" ht="15.75" customHeight="1" s="35">
      <c r="A31" s="18" t="n"/>
      <c r="B31" s="18" t="n"/>
      <c r="C31" s="18" t="n"/>
      <c r="D31" s="18" t="n"/>
      <c r="E31" s="18" t="n"/>
      <c r="F31" s="18" t="n"/>
    </row>
    <row r="32" ht="15.75" customHeight="1" s="35">
      <c r="A32" s="18" t="n"/>
      <c r="B32" s="18" t="n"/>
      <c r="C32" s="18" t="n"/>
      <c r="D32" s="18" t="n"/>
      <c r="E32" s="18" t="n"/>
      <c r="F32" s="18" t="n"/>
    </row>
    <row r="33" ht="15.75" customHeight="1" s="35">
      <c r="A33" s="18" t="n"/>
      <c r="B33" s="18" t="n"/>
      <c r="C33" s="18" t="n"/>
      <c r="D33" s="18" t="n"/>
      <c r="E33" s="18" t="n"/>
      <c r="F33" s="18" t="n"/>
    </row>
    <row r="34" ht="15.75" customHeight="1" s="35">
      <c r="A34" s="18" t="n"/>
      <c r="B34" s="18" t="n"/>
      <c r="C34" s="18" t="n"/>
      <c r="D34" s="18" t="n"/>
      <c r="E34" s="18" t="n"/>
      <c r="F34" s="18" t="n"/>
    </row>
    <row r="35" ht="15.75" customHeight="1" s="35">
      <c r="A35" s="18" t="n"/>
      <c r="B35" s="18" t="n"/>
      <c r="C35" s="18" t="n"/>
      <c r="D35" s="18" t="n"/>
      <c r="E35" s="18" t="n"/>
      <c r="F35" s="18" t="n"/>
    </row>
    <row r="36" ht="15.75" customHeight="1" s="35">
      <c r="A36" s="18" t="n"/>
      <c r="B36" s="18" t="n"/>
      <c r="C36" s="18" t="n"/>
      <c r="D36" s="18" t="n"/>
      <c r="E36" s="18" t="n"/>
      <c r="F36" s="18" t="n"/>
    </row>
    <row r="37" ht="15.75" customHeight="1" s="35">
      <c r="A37" s="18" t="n"/>
      <c r="B37" s="18" t="n"/>
      <c r="C37" s="18" t="n"/>
      <c r="D37" s="18" t="n"/>
      <c r="E37" s="18" t="n"/>
      <c r="F37" s="18" t="n"/>
    </row>
    <row r="38" ht="15.75" customHeight="1" s="35">
      <c r="A38" s="18" t="n"/>
      <c r="B38" s="18" t="n"/>
      <c r="C38" s="18" t="n"/>
      <c r="D38" s="18" t="n"/>
      <c r="E38" s="18" t="n"/>
      <c r="F38" s="18" t="n"/>
    </row>
    <row r="39" ht="15.75" customHeight="1" s="35">
      <c r="A39" s="18" t="n"/>
      <c r="B39" s="18" t="n"/>
      <c r="C39" s="18" t="n"/>
      <c r="D39" s="18" t="n"/>
      <c r="E39" s="18" t="n"/>
      <c r="F39" s="18" t="n"/>
    </row>
    <row r="40" ht="15.75" customHeight="1" s="35">
      <c r="A40" s="18" t="n"/>
      <c r="B40" s="18" t="n"/>
      <c r="C40" s="18" t="n"/>
      <c r="D40" s="18" t="n"/>
      <c r="E40" s="18" t="n"/>
      <c r="F40" s="18" t="n"/>
    </row>
    <row r="41" ht="15.75" customHeight="1" s="35">
      <c r="A41" s="18" t="n"/>
      <c r="B41" s="18" t="n"/>
      <c r="C41" s="18" t="n"/>
      <c r="D41" s="18" t="n"/>
      <c r="E41" s="18" t="n"/>
      <c r="F41" s="18" t="n"/>
    </row>
    <row r="42" ht="15.75" customHeight="1" s="35">
      <c r="A42" s="18" t="n"/>
      <c r="B42" s="18" t="n"/>
      <c r="C42" s="18" t="n"/>
      <c r="D42" s="18" t="n"/>
      <c r="E42" s="18" t="n"/>
      <c r="F42" s="18" t="n"/>
    </row>
    <row r="43" ht="15.75" customHeight="1" s="35">
      <c r="A43" s="18" t="n"/>
      <c r="B43" s="18" t="n"/>
      <c r="C43" s="18" t="n"/>
      <c r="D43" s="18" t="n"/>
      <c r="E43" s="18" t="n"/>
      <c r="F43" s="18" t="n"/>
    </row>
    <row r="44" ht="15.75" customHeight="1" s="35">
      <c r="A44" s="18" t="n"/>
      <c r="B44" s="18" t="n"/>
      <c r="C44" s="18" t="n"/>
      <c r="D44" s="18" t="n"/>
      <c r="E44" s="18" t="n"/>
      <c r="F44" s="18" t="n"/>
    </row>
    <row r="45" ht="15.75" customHeight="1" s="35">
      <c r="A45" s="18" t="n"/>
      <c r="B45" s="18" t="n"/>
      <c r="C45" s="18" t="n"/>
      <c r="D45" s="18" t="n"/>
      <c r="E45" s="18" t="n"/>
      <c r="F45" s="18" t="n"/>
    </row>
    <row r="46" ht="15.75" customHeight="1" s="35">
      <c r="A46" s="18" t="n"/>
      <c r="B46" s="18" t="n"/>
      <c r="C46" s="18" t="n"/>
      <c r="D46" s="18" t="n"/>
      <c r="E46" s="18" t="n"/>
      <c r="F46" s="18" t="n"/>
    </row>
    <row r="47" ht="15.75" customHeight="1" s="35">
      <c r="A47" s="18" t="n"/>
      <c r="B47" s="18" t="n"/>
      <c r="C47" s="18" t="n"/>
      <c r="D47" s="18" t="n"/>
      <c r="E47" s="18" t="n"/>
      <c r="F47" s="18" t="n"/>
    </row>
    <row r="48" ht="15.75" customHeight="1" s="35">
      <c r="A48" s="18" t="n"/>
      <c r="B48" s="18" t="n"/>
      <c r="C48" s="18" t="n"/>
      <c r="D48" s="18" t="n"/>
      <c r="E48" s="18" t="n"/>
      <c r="F48" s="18" t="n"/>
    </row>
    <row r="49" ht="15.75" customHeight="1" s="35">
      <c r="A49" s="18" t="n"/>
      <c r="B49" s="18" t="n"/>
      <c r="C49" s="18" t="n"/>
      <c r="D49" s="18" t="n"/>
      <c r="E49" s="18" t="n"/>
      <c r="F49" s="18" t="n"/>
    </row>
    <row r="50" ht="15.75" customHeight="1" s="35">
      <c r="A50" s="18" t="n"/>
      <c r="B50" s="18" t="n"/>
      <c r="C50" s="18" t="n"/>
      <c r="D50" s="18" t="n"/>
      <c r="E50" s="18" t="n"/>
      <c r="F50" s="18" t="n"/>
    </row>
    <row r="51" ht="15.75" customHeight="1" s="35">
      <c r="A51" s="18" t="n"/>
      <c r="B51" s="18" t="n"/>
      <c r="C51" s="18" t="n"/>
      <c r="D51" s="18" t="n"/>
      <c r="E51" s="18" t="n"/>
      <c r="F51" s="18" t="n"/>
    </row>
    <row r="52" ht="15.75" customHeight="1" s="35">
      <c r="A52" s="18" t="n"/>
      <c r="B52" s="18" t="n"/>
      <c r="C52" s="18" t="n"/>
      <c r="D52" s="18" t="n"/>
      <c r="E52" s="18" t="n"/>
      <c r="F52" s="18" t="n"/>
    </row>
    <row r="53" ht="15.75" customHeight="1" s="35">
      <c r="A53" s="18" t="n"/>
      <c r="B53" s="18" t="n"/>
      <c r="C53" s="18" t="n"/>
      <c r="D53" s="18" t="n"/>
      <c r="E53" s="18" t="n"/>
      <c r="F53" s="18" t="n"/>
    </row>
    <row r="54" ht="15.75" customHeight="1" s="35">
      <c r="A54" s="18" t="n"/>
      <c r="B54" s="18" t="n"/>
      <c r="C54" s="18" t="n"/>
      <c r="D54" s="18" t="n"/>
      <c r="E54" s="18" t="n"/>
      <c r="F54" s="18" t="n"/>
    </row>
    <row r="55" ht="15.75" customHeight="1" s="35">
      <c r="A55" s="18" t="n"/>
      <c r="B55" s="18" t="n"/>
      <c r="C55" s="18" t="n"/>
      <c r="D55" s="18" t="n"/>
      <c r="E55" s="18" t="n"/>
      <c r="F55" s="18" t="n"/>
    </row>
    <row r="56" ht="15.75" customHeight="1" s="35">
      <c r="A56" s="18" t="n"/>
      <c r="B56" s="18" t="n"/>
      <c r="C56" s="18" t="n"/>
      <c r="D56" s="18" t="n"/>
      <c r="E56" s="18" t="n"/>
      <c r="F56" s="18" t="n"/>
    </row>
    <row r="57" ht="15.75" customHeight="1" s="35">
      <c r="A57" s="18" t="n"/>
      <c r="B57" s="18" t="n"/>
      <c r="C57" s="18" t="n"/>
      <c r="D57" s="18" t="n"/>
      <c r="E57" s="18" t="n"/>
      <c r="F57" s="18" t="n"/>
    </row>
    <row r="58" ht="15.75" customHeight="1" s="35">
      <c r="A58" s="18" t="n"/>
      <c r="B58" s="18" t="n"/>
      <c r="C58" s="18" t="n"/>
      <c r="D58" s="18" t="n"/>
      <c r="E58" s="18" t="n"/>
      <c r="F58" s="18" t="n"/>
    </row>
    <row r="59" ht="15.75" customHeight="1" s="35">
      <c r="A59" s="18" t="n"/>
      <c r="B59" s="18" t="n"/>
      <c r="C59" s="18" t="n"/>
      <c r="D59" s="18" t="n"/>
      <c r="E59" s="18" t="n"/>
      <c r="F59" s="18" t="n"/>
    </row>
    <row r="60" ht="15.75" customHeight="1" s="35">
      <c r="A60" s="18" t="n"/>
      <c r="B60" s="18" t="n"/>
      <c r="C60" s="18" t="n"/>
      <c r="D60" s="18" t="n"/>
      <c r="E60" s="18" t="n"/>
      <c r="F60" s="18" t="n"/>
    </row>
    <row r="61" ht="15.75" customHeight="1" s="35">
      <c r="A61" s="18" t="n"/>
      <c r="B61" s="18" t="n"/>
      <c r="C61" s="18" t="n"/>
      <c r="D61" s="18" t="n"/>
      <c r="E61" s="18" t="n"/>
      <c r="F61" s="18" t="n"/>
    </row>
    <row r="62" ht="15.75" customHeight="1" s="35">
      <c r="A62" s="18" t="n"/>
      <c r="B62" s="18" t="n"/>
      <c r="C62" s="18" t="n"/>
      <c r="D62" s="18" t="n"/>
      <c r="E62" s="18" t="n"/>
      <c r="F62" s="18" t="n"/>
    </row>
    <row r="63" ht="15.75" customHeight="1" s="35">
      <c r="A63" s="18" t="n"/>
      <c r="B63" s="18" t="n"/>
      <c r="C63" s="18" t="n"/>
      <c r="D63" s="18" t="n"/>
      <c r="E63" s="18" t="n"/>
      <c r="F63" s="18" t="n"/>
    </row>
    <row r="64" ht="15.75" customHeight="1" s="35">
      <c r="A64" s="18" t="n"/>
      <c r="B64" s="18" t="n"/>
      <c r="C64" s="18" t="n"/>
      <c r="D64" s="18" t="n"/>
      <c r="E64" s="18" t="n"/>
      <c r="F64" s="18" t="n"/>
    </row>
    <row r="65" ht="15.75" customHeight="1" s="35">
      <c r="A65" s="18" t="n"/>
      <c r="B65" s="18" t="n"/>
      <c r="C65" s="18" t="n"/>
      <c r="D65" s="18" t="n"/>
      <c r="E65" s="18" t="n"/>
      <c r="F65" s="18" t="n"/>
    </row>
    <row r="66" ht="15.75" customHeight="1" s="35">
      <c r="A66" s="18" t="n"/>
      <c r="B66" s="18" t="n"/>
      <c r="C66" s="18" t="n"/>
      <c r="D66" s="18" t="n"/>
      <c r="E66" s="18" t="n"/>
      <c r="F66" s="18" t="n"/>
    </row>
    <row r="67" ht="15.75" customHeight="1" s="35">
      <c r="A67" s="18" t="n"/>
      <c r="B67" s="18" t="n"/>
      <c r="C67" s="18" t="n"/>
      <c r="D67" s="18" t="n"/>
      <c r="E67" s="18" t="n"/>
      <c r="F67" s="18" t="n"/>
    </row>
    <row r="68" ht="15.75" customHeight="1" s="35">
      <c r="A68" s="18" t="n"/>
      <c r="B68" s="18" t="n"/>
      <c r="C68" s="18" t="n"/>
      <c r="D68" s="18" t="n"/>
      <c r="E68" s="18" t="n"/>
      <c r="F68" s="18" t="n"/>
    </row>
    <row r="69" ht="15.75" customHeight="1" s="35">
      <c r="A69" s="18" t="n"/>
      <c r="B69" s="18" t="n"/>
      <c r="C69" s="18" t="n"/>
      <c r="D69" s="18" t="n"/>
      <c r="E69" s="18" t="n"/>
      <c r="F69" s="18" t="n"/>
    </row>
    <row r="70" ht="15.75" customHeight="1" s="35">
      <c r="A70" s="18" t="n"/>
      <c r="B70" s="18" t="n"/>
      <c r="C70" s="18" t="n"/>
      <c r="D70" s="18" t="n"/>
      <c r="E70" s="18" t="n"/>
      <c r="F70" s="18" t="n"/>
    </row>
    <row r="71" ht="15.75" customHeight="1" s="35">
      <c r="A71" s="18" t="n"/>
      <c r="B71" s="18" t="n"/>
      <c r="C71" s="18" t="n"/>
      <c r="D71" s="18" t="n"/>
      <c r="E71" s="18" t="n"/>
      <c r="F71" s="18" t="n"/>
    </row>
    <row r="72" ht="15.75" customHeight="1" s="35">
      <c r="A72" s="18" t="n"/>
      <c r="B72" s="18" t="n"/>
      <c r="C72" s="18" t="n"/>
      <c r="D72" s="18" t="n"/>
      <c r="E72" s="18" t="n"/>
      <c r="F72" s="18" t="n"/>
    </row>
    <row r="73" ht="15.75" customHeight="1" s="35">
      <c r="A73" s="18" t="n"/>
      <c r="B73" s="18" t="n"/>
      <c r="C73" s="18" t="n"/>
      <c r="D73" s="18" t="n"/>
      <c r="E73" s="18" t="n"/>
      <c r="F73" s="18" t="n"/>
    </row>
    <row r="74" ht="15.75" customHeight="1" s="35">
      <c r="A74" s="18" t="n"/>
      <c r="B74" s="18" t="n"/>
      <c r="C74" s="18" t="n"/>
      <c r="D74" s="18" t="n"/>
      <c r="E74" s="18" t="n"/>
      <c r="F74" s="18" t="n"/>
    </row>
    <row r="75" ht="15.75" customHeight="1" s="35">
      <c r="A75" s="18" t="n"/>
      <c r="B75" s="18" t="n"/>
      <c r="C75" s="18" t="n"/>
      <c r="D75" s="18" t="n"/>
      <c r="E75" s="18" t="n"/>
      <c r="F75" s="18" t="n"/>
    </row>
    <row r="76" ht="15.75" customHeight="1" s="35">
      <c r="A76" s="18" t="n"/>
      <c r="B76" s="18" t="n"/>
      <c r="C76" s="18" t="n"/>
      <c r="D76" s="18" t="n"/>
      <c r="E76" s="18" t="n"/>
      <c r="F76" s="18" t="n"/>
    </row>
    <row r="77" ht="15.75" customHeight="1" s="35">
      <c r="A77" s="18" t="n"/>
      <c r="B77" s="18" t="n"/>
      <c r="C77" s="18" t="n"/>
      <c r="D77" s="18" t="n"/>
      <c r="E77" s="18" t="n"/>
      <c r="F77" s="18" t="n"/>
    </row>
    <row r="78" ht="15.75" customHeight="1" s="35">
      <c r="A78" s="18" t="n"/>
      <c r="B78" s="18" t="n"/>
      <c r="C78" s="18" t="n"/>
      <c r="D78" s="18" t="n"/>
      <c r="E78" s="18" t="n"/>
      <c r="F78" s="18" t="n"/>
    </row>
    <row r="79" ht="15.75" customHeight="1" s="35">
      <c r="A79" s="18" t="n"/>
      <c r="B79" s="18" t="n"/>
      <c r="C79" s="18" t="n"/>
      <c r="D79" s="18" t="n"/>
      <c r="E79" s="18" t="n"/>
      <c r="F79" s="18" t="n"/>
    </row>
    <row r="80" ht="15.75" customHeight="1" s="35">
      <c r="A80" s="18" t="n"/>
      <c r="B80" s="18" t="n"/>
      <c r="C80" s="18" t="n"/>
      <c r="D80" s="18" t="n"/>
      <c r="E80" s="18" t="n"/>
      <c r="F80" s="18" t="n"/>
    </row>
    <row r="81" ht="15.75" customHeight="1" s="35">
      <c r="A81" s="18" t="n"/>
      <c r="B81" s="18" t="n"/>
      <c r="C81" s="18" t="n"/>
      <c r="D81" s="18" t="n"/>
      <c r="E81" s="18" t="n"/>
      <c r="F81" s="18" t="n"/>
    </row>
    <row r="82" ht="15.75" customHeight="1" s="35">
      <c r="A82" s="18" t="n"/>
      <c r="B82" s="18" t="n"/>
      <c r="C82" s="18" t="n"/>
      <c r="D82" s="18" t="n"/>
      <c r="E82" s="18" t="n"/>
      <c r="F82" s="18" t="n"/>
    </row>
    <row r="83" ht="15.75" customHeight="1" s="35">
      <c r="A83" s="18" t="n"/>
      <c r="B83" s="18" t="n"/>
      <c r="C83" s="18" t="n"/>
      <c r="D83" s="18" t="n"/>
      <c r="E83" s="18" t="n"/>
      <c r="F83" s="18" t="n"/>
    </row>
    <row r="84" ht="15.75" customHeight="1" s="35">
      <c r="A84" s="18" t="n"/>
      <c r="B84" s="18" t="n"/>
      <c r="C84" s="18" t="n"/>
      <c r="D84" s="18" t="n"/>
      <c r="E84" s="18" t="n"/>
      <c r="F84" s="18" t="n"/>
    </row>
    <row r="85" ht="15.75" customHeight="1" s="35">
      <c r="A85" s="18" t="n"/>
      <c r="B85" s="18" t="n"/>
      <c r="C85" s="18" t="n"/>
      <c r="D85" s="18" t="n"/>
      <c r="E85" s="18" t="n"/>
      <c r="F85" s="18" t="n"/>
    </row>
    <row r="86" ht="15.75" customHeight="1" s="35">
      <c r="A86" s="18" t="n"/>
      <c r="B86" s="18" t="n"/>
      <c r="C86" s="18" t="n"/>
      <c r="D86" s="18" t="n"/>
      <c r="E86" s="18" t="n"/>
      <c r="F86" s="18" t="n"/>
    </row>
    <row r="87" ht="15.75" customHeight="1" s="35">
      <c r="A87" s="18" t="n"/>
      <c r="B87" s="18" t="n"/>
      <c r="C87" s="18" t="n"/>
      <c r="D87" s="18" t="n"/>
      <c r="E87" s="18" t="n"/>
      <c r="F87" s="18" t="n"/>
    </row>
    <row r="88" ht="15.75" customHeight="1" s="35">
      <c r="A88" s="18" t="n"/>
      <c r="B88" s="18" t="n"/>
      <c r="C88" s="18" t="n"/>
      <c r="D88" s="18" t="n"/>
      <c r="E88" s="18" t="n"/>
      <c r="F88" s="18" t="n"/>
    </row>
    <row r="89" ht="15.75" customHeight="1" s="35">
      <c r="A89" s="18" t="n"/>
      <c r="B89" s="18" t="n"/>
      <c r="C89" s="18" t="n"/>
      <c r="D89" s="18" t="n"/>
      <c r="E89" s="18" t="n"/>
      <c r="F89" s="18" t="n"/>
    </row>
    <row r="90" ht="15.75" customHeight="1" s="35">
      <c r="A90" s="18" t="n"/>
      <c r="B90" s="18" t="n"/>
      <c r="C90" s="18" t="n"/>
      <c r="D90" s="18" t="n"/>
      <c r="E90" s="18" t="n"/>
      <c r="F90" s="18" t="n"/>
    </row>
    <row r="91" ht="15.75" customHeight="1" s="35">
      <c r="A91" s="18" t="n"/>
      <c r="B91" s="18" t="n"/>
      <c r="C91" s="18" t="n"/>
      <c r="D91" s="18" t="n"/>
      <c r="E91" s="18" t="n"/>
      <c r="F91" s="18" t="n"/>
    </row>
    <row r="92" ht="15.75" customHeight="1" s="35">
      <c r="A92" s="18" t="n"/>
      <c r="B92" s="18" t="n"/>
      <c r="C92" s="18" t="n"/>
      <c r="D92" s="18" t="n"/>
      <c r="E92" s="18" t="n"/>
      <c r="F92" s="18" t="n"/>
    </row>
    <row r="93" ht="15.75" customHeight="1" s="35">
      <c r="A93" s="18" t="n"/>
      <c r="B93" s="18" t="n"/>
      <c r="C93" s="18" t="n"/>
      <c r="D93" s="18" t="n"/>
      <c r="E93" s="18" t="n"/>
      <c r="F93" s="18" t="n"/>
    </row>
    <row r="94" ht="15.75" customHeight="1" s="35">
      <c r="A94" s="18" t="n"/>
      <c r="B94" s="18" t="n"/>
      <c r="C94" s="18" t="n"/>
      <c r="D94" s="18" t="n"/>
      <c r="E94" s="18" t="n"/>
      <c r="F94" s="18" t="n"/>
    </row>
    <row r="95" ht="15.75" customHeight="1" s="35">
      <c r="A95" s="18" t="n"/>
      <c r="B95" s="18" t="n"/>
      <c r="C95" s="18" t="n"/>
      <c r="D95" s="18" t="n"/>
      <c r="E95" s="18" t="n"/>
      <c r="F95" s="18" t="n"/>
    </row>
    <row r="96" ht="15.75" customHeight="1" s="35">
      <c r="A96" s="18" t="n"/>
      <c r="B96" s="18" t="n"/>
      <c r="C96" s="18" t="n"/>
      <c r="D96" s="18" t="n"/>
      <c r="E96" s="18" t="n"/>
      <c r="F96" s="18" t="n"/>
    </row>
    <row r="97" ht="15.75" customHeight="1" s="35">
      <c r="A97" s="18" t="n"/>
      <c r="B97" s="18" t="n"/>
      <c r="C97" s="18" t="n"/>
      <c r="D97" s="18" t="n"/>
      <c r="E97" s="18" t="n"/>
      <c r="F97" s="18" t="n"/>
    </row>
    <row r="98" ht="15.75" customHeight="1" s="35">
      <c r="A98" s="18" t="n"/>
      <c r="B98" s="18" t="n"/>
      <c r="C98" s="18" t="n"/>
      <c r="D98" s="18" t="n"/>
      <c r="E98" s="18" t="n"/>
      <c r="F98" s="18" t="n"/>
    </row>
    <row r="99" ht="15.75" customHeight="1" s="35">
      <c r="A99" s="18" t="n"/>
      <c r="B99" s="18" t="n"/>
      <c r="C99" s="18" t="n"/>
      <c r="D99" s="18" t="n"/>
      <c r="E99" s="18" t="n"/>
      <c r="F99" s="18" t="n"/>
    </row>
    <row r="100" ht="15.75" customHeight="1" s="35">
      <c r="A100" s="18" t="n"/>
      <c r="B100" s="18" t="n"/>
      <c r="C100" s="18" t="n"/>
      <c r="D100" s="18" t="n"/>
      <c r="E100" s="18" t="n"/>
      <c r="F100" s="18" t="n"/>
    </row>
    <row r="101" ht="15.75" customHeight="1" s="35">
      <c r="A101" s="18" t="n"/>
      <c r="B101" s="18" t="n"/>
      <c r="C101" s="18" t="n"/>
      <c r="D101" s="18" t="n"/>
      <c r="E101" s="18" t="n"/>
      <c r="F101" s="18" t="n"/>
    </row>
    <row r="102" ht="15.75" customHeight="1" s="35">
      <c r="A102" s="18" t="n"/>
      <c r="B102" s="18" t="n"/>
      <c r="C102" s="18" t="n"/>
      <c r="D102" s="18" t="n"/>
      <c r="E102" s="18" t="n"/>
      <c r="F102" s="18" t="n"/>
    </row>
    <row r="103" ht="15.75" customHeight="1" s="35">
      <c r="A103" s="18" t="n"/>
      <c r="B103" s="18" t="n"/>
      <c r="C103" s="18" t="n"/>
      <c r="D103" s="18" t="n"/>
      <c r="E103" s="18" t="n"/>
      <c r="F103" s="18" t="n"/>
    </row>
    <row r="104" ht="15.75" customHeight="1" s="35">
      <c r="A104" s="18" t="n"/>
      <c r="B104" s="18" t="n"/>
      <c r="C104" s="18" t="n"/>
      <c r="D104" s="18" t="n"/>
      <c r="E104" s="18" t="n"/>
      <c r="F104" s="18" t="n"/>
    </row>
    <row r="105" ht="15.75" customHeight="1" s="35">
      <c r="A105" s="18" t="n"/>
      <c r="B105" s="18" t="n"/>
      <c r="C105" s="18" t="n"/>
      <c r="D105" s="18" t="n"/>
      <c r="E105" s="18" t="n"/>
      <c r="F105" s="18" t="n"/>
    </row>
    <row r="106" ht="15.75" customHeight="1" s="35">
      <c r="A106" s="18" t="n"/>
      <c r="B106" s="18" t="n"/>
      <c r="C106" s="18" t="n"/>
      <c r="D106" s="18" t="n"/>
      <c r="E106" s="18" t="n"/>
      <c r="F106" s="18" t="n"/>
    </row>
    <row r="107" ht="15.75" customHeight="1" s="35">
      <c r="A107" s="18" t="n"/>
      <c r="B107" s="18" t="n"/>
      <c r="C107" s="18" t="n"/>
      <c r="D107" s="18" t="n"/>
      <c r="E107" s="18" t="n"/>
      <c r="F107" s="18" t="n"/>
    </row>
    <row r="108" ht="15.75" customHeight="1" s="35">
      <c r="A108" s="18" t="n"/>
      <c r="B108" s="18" t="n"/>
      <c r="C108" s="18" t="n"/>
      <c r="D108" s="18" t="n"/>
      <c r="E108" s="18" t="n"/>
      <c r="F108" s="18" t="n"/>
    </row>
    <row r="109" ht="15.75" customHeight="1" s="35">
      <c r="A109" s="18" t="n"/>
      <c r="B109" s="18" t="n"/>
      <c r="C109" s="18" t="n"/>
      <c r="D109" s="18" t="n"/>
      <c r="E109" s="18" t="n"/>
      <c r="F109" s="18" t="n"/>
    </row>
    <row r="110" ht="15.75" customHeight="1" s="35">
      <c r="A110" s="18" t="n"/>
      <c r="B110" s="18" t="n"/>
      <c r="C110" s="18" t="n"/>
      <c r="D110" s="18" t="n"/>
      <c r="E110" s="18" t="n"/>
      <c r="F110" s="18" t="n"/>
    </row>
    <row r="111" ht="15.75" customHeight="1" s="35">
      <c r="A111" s="18" t="n"/>
      <c r="B111" s="18" t="n"/>
      <c r="C111" s="18" t="n"/>
      <c r="D111" s="18" t="n"/>
      <c r="E111" s="18" t="n"/>
      <c r="F111" s="18" t="n"/>
    </row>
    <row r="112" ht="15.75" customHeight="1" s="35">
      <c r="A112" s="18" t="n"/>
      <c r="B112" s="18" t="n"/>
      <c r="C112" s="18" t="n"/>
      <c r="D112" s="18" t="n"/>
      <c r="E112" s="18" t="n"/>
      <c r="F112" s="18" t="n"/>
    </row>
    <row r="113" ht="15.75" customHeight="1" s="35">
      <c r="A113" s="18" t="n"/>
      <c r="B113" s="18" t="n"/>
      <c r="C113" s="18" t="n"/>
      <c r="D113" s="18" t="n"/>
      <c r="E113" s="18" t="n"/>
      <c r="F113" s="18" t="n"/>
    </row>
    <row r="114" ht="15.75" customHeight="1" s="35">
      <c r="A114" s="18" t="n"/>
      <c r="B114" s="18" t="n"/>
      <c r="C114" s="18" t="n"/>
      <c r="D114" s="18" t="n"/>
      <c r="E114" s="18" t="n"/>
      <c r="F114" s="18" t="n"/>
    </row>
    <row r="115" ht="15.75" customHeight="1" s="35">
      <c r="A115" s="18" t="n"/>
      <c r="B115" s="18" t="n"/>
      <c r="C115" s="18" t="n"/>
      <c r="D115" s="18" t="n"/>
      <c r="E115" s="18" t="n"/>
      <c r="F115" s="18" t="n"/>
    </row>
    <row r="116" ht="15.75" customHeight="1" s="35">
      <c r="A116" s="18" t="n"/>
      <c r="B116" s="18" t="n"/>
      <c r="C116" s="18" t="n"/>
      <c r="D116" s="18" t="n"/>
      <c r="E116" s="18" t="n"/>
      <c r="F116" s="18" t="n"/>
    </row>
    <row r="117" ht="15.75" customHeight="1" s="35">
      <c r="A117" s="18" t="n"/>
      <c r="B117" s="18" t="n"/>
      <c r="C117" s="18" t="n"/>
      <c r="D117" s="18" t="n"/>
      <c r="E117" s="18" t="n"/>
      <c r="F117" s="18" t="n"/>
    </row>
    <row r="118" ht="15.75" customHeight="1" s="35">
      <c r="A118" s="18" t="n"/>
      <c r="B118" s="18" t="n"/>
      <c r="C118" s="18" t="n"/>
      <c r="D118" s="18" t="n"/>
      <c r="E118" s="18" t="n"/>
      <c r="F118" s="18" t="n"/>
    </row>
    <row r="119" ht="15.75" customHeight="1" s="35">
      <c r="A119" s="18" t="n"/>
      <c r="B119" s="18" t="n"/>
      <c r="C119" s="18" t="n"/>
      <c r="D119" s="18" t="n"/>
      <c r="E119" s="18" t="n"/>
      <c r="F119" s="18" t="n"/>
    </row>
    <row r="120" ht="15.75" customHeight="1" s="35">
      <c r="A120" s="18" t="n"/>
      <c r="B120" s="18" t="n"/>
      <c r="C120" s="18" t="n"/>
      <c r="D120" s="18" t="n"/>
      <c r="E120" s="18" t="n"/>
      <c r="F120" s="18" t="n"/>
    </row>
    <row r="121" ht="15.75" customHeight="1" s="35">
      <c r="A121" s="18" t="n"/>
      <c r="B121" s="18" t="n"/>
      <c r="C121" s="18" t="n"/>
      <c r="D121" s="18" t="n"/>
      <c r="E121" s="18" t="n"/>
      <c r="F121" s="18" t="n"/>
    </row>
    <row r="122" ht="15.75" customHeight="1" s="35">
      <c r="A122" s="18" t="n"/>
      <c r="B122" s="18" t="n"/>
      <c r="C122" s="18" t="n"/>
      <c r="D122" s="18" t="n"/>
      <c r="E122" s="18" t="n"/>
      <c r="F122" s="18" t="n"/>
    </row>
    <row r="123" ht="15.75" customHeight="1" s="35">
      <c r="A123" s="18" t="n"/>
      <c r="B123" s="18" t="n"/>
      <c r="C123" s="18" t="n"/>
      <c r="D123" s="18" t="n"/>
      <c r="E123" s="18" t="n"/>
      <c r="F123" s="18" t="n"/>
    </row>
    <row r="124" ht="15.75" customHeight="1" s="35">
      <c r="A124" s="18" t="n"/>
      <c r="B124" s="18" t="n"/>
      <c r="C124" s="18" t="n"/>
      <c r="D124" s="18" t="n"/>
      <c r="E124" s="18" t="n"/>
      <c r="F124" s="18" t="n"/>
    </row>
    <row r="125" ht="15.75" customHeight="1" s="35">
      <c r="A125" s="18" t="n"/>
      <c r="B125" s="18" t="n"/>
      <c r="C125" s="18" t="n"/>
      <c r="D125" s="18" t="n"/>
      <c r="E125" s="18" t="n"/>
      <c r="F125" s="18" t="n"/>
    </row>
    <row r="126" ht="15.75" customHeight="1" s="35">
      <c r="A126" s="18" t="n"/>
      <c r="B126" s="18" t="n"/>
      <c r="C126" s="18" t="n"/>
      <c r="D126" s="18" t="n"/>
      <c r="E126" s="18" t="n"/>
      <c r="F126" s="18" t="n"/>
    </row>
    <row r="127" ht="15.75" customHeight="1" s="35">
      <c r="A127" s="18" t="n"/>
      <c r="B127" s="18" t="n"/>
      <c r="C127" s="18" t="n"/>
      <c r="D127" s="18" t="n"/>
      <c r="E127" s="18" t="n"/>
      <c r="F127" s="18" t="n"/>
    </row>
    <row r="128" ht="15.75" customHeight="1" s="35">
      <c r="A128" s="18" t="n"/>
      <c r="B128" s="18" t="n"/>
      <c r="C128" s="18" t="n"/>
      <c r="D128" s="18" t="n"/>
      <c r="E128" s="18" t="n"/>
      <c r="F128" s="18" t="n"/>
    </row>
    <row r="129" ht="15.75" customHeight="1" s="35">
      <c r="A129" s="18" t="n"/>
      <c r="B129" s="18" t="n"/>
      <c r="C129" s="18" t="n"/>
      <c r="D129" s="18" t="n"/>
      <c r="E129" s="18" t="n"/>
      <c r="F129" s="18" t="n"/>
    </row>
    <row r="130" ht="15.75" customHeight="1" s="35">
      <c r="A130" s="18" t="n"/>
      <c r="B130" s="18" t="n"/>
      <c r="C130" s="18" t="n"/>
      <c r="D130" s="18" t="n"/>
      <c r="E130" s="18" t="n"/>
      <c r="F130" s="18" t="n"/>
    </row>
    <row r="131" ht="15.75" customHeight="1" s="35">
      <c r="A131" s="18" t="n"/>
      <c r="B131" s="18" t="n"/>
      <c r="C131" s="18" t="n"/>
      <c r="D131" s="18" t="n"/>
      <c r="E131" s="18" t="n"/>
      <c r="F131" s="18" t="n"/>
    </row>
    <row r="132" ht="15.75" customHeight="1" s="35">
      <c r="A132" s="18" t="n"/>
      <c r="B132" s="18" t="n"/>
      <c r="C132" s="18" t="n"/>
      <c r="D132" s="18" t="n"/>
      <c r="E132" s="18" t="n"/>
      <c r="F132" s="18" t="n"/>
    </row>
    <row r="133" ht="15.75" customHeight="1" s="35">
      <c r="A133" s="18" t="n"/>
      <c r="B133" s="18" t="n"/>
      <c r="C133" s="18" t="n"/>
      <c r="D133" s="18" t="n"/>
      <c r="E133" s="18" t="n"/>
      <c r="F133" s="18" t="n"/>
    </row>
    <row r="134" ht="15.75" customHeight="1" s="35">
      <c r="A134" s="18" t="n"/>
      <c r="B134" s="18" t="n"/>
      <c r="C134" s="18" t="n"/>
      <c r="D134" s="18" t="n"/>
      <c r="E134" s="18" t="n"/>
      <c r="F134" s="18" t="n"/>
    </row>
    <row r="135" ht="15.75" customHeight="1" s="35">
      <c r="A135" s="18" t="n"/>
      <c r="B135" s="18" t="n"/>
      <c r="C135" s="18" t="n"/>
      <c r="D135" s="18" t="n"/>
      <c r="E135" s="18" t="n"/>
      <c r="F135" s="18" t="n"/>
    </row>
    <row r="136" ht="15.75" customHeight="1" s="35">
      <c r="A136" s="18" t="n"/>
      <c r="B136" s="18" t="n"/>
      <c r="C136" s="18" t="n"/>
      <c r="D136" s="18" t="n"/>
      <c r="E136" s="18" t="n"/>
      <c r="F136" s="18" t="n"/>
    </row>
    <row r="137" ht="15.75" customHeight="1" s="35">
      <c r="A137" s="18" t="n"/>
      <c r="B137" s="18" t="n"/>
      <c r="C137" s="18" t="n"/>
      <c r="D137" s="18" t="n"/>
      <c r="E137" s="18" t="n"/>
      <c r="F137" s="18" t="n"/>
    </row>
    <row r="138" ht="15.75" customHeight="1" s="35">
      <c r="A138" s="18" t="n"/>
      <c r="B138" s="18" t="n"/>
      <c r="C138" s="18" t="n"/>
      <c r="D138" s="18" t="n"/>
      <c r="E138" s="18" t="n"/>
      <c r="F138" s="18" t="n"/>
    </row>
    <row r="139" ht="15.75" customHeight="1" s="35">
      <c r="A139" s="18" t="n"/>
      <c r="B139" s="18" t="n"/>
      <c r="C139" s="18" t="n"/>
      <c r="D139" s="18" t="n"/>
      <c r="E139" s="18" t="n"/>
      <c r="F139" s="18" t="n"/>
    </row>
    <row r="140" ht="15.75" customHeight="1" s="35">
      <c r="A140" s="18" t="n"/>
      <c r="B140" s="18" t="n"/>
      <c r="C140" s="18" t="n"/>
      <c r="D140" s="18" t="n"/>
      <c r="E140" s="18" t="n"/>
      <c r="F140" s="18" t="n"/>
    </row>
    <row r="141" ht="15.75" customHeight="1" s="35">
      <c r="A141" s="18" t="n"/>
      <c r="B141" s="18" t="n"/>
      <c r="C141" s="18" t="n"/>
      <c r="D141" s="18" t="n"/>
      <c r="E141" s="18" t="n"/>
      <c r="F141" s="18" t="n"/>
    </row>
    <row r="142" ht="15.75" customHeight="1" s="35">
      <c r="A142" s="18" t="n"/>
      <c r="B142" s="18" t="n"/>
      <c r="C142" s="18" t="n"/>
      <c r="D142" s="18" t="n"/>
      <c r="E142" s="18" t="n"/>
      <c r="F142" s="18" t="n"/>
    </row>
    <row r="143" ht="15.75" customHeight="1" s="35">
      <c r="A143" s="18" t="n"/>
      <c r="B143" s="18" t="n"/>
      <c r="C143" s="18" t="n"/>
      <c r="D143" s="18" t="n"/>
      <c r="E143" s="18" t="n"/>
      <c r="F143" s="18" t="n"/>
    </row>
    <row r="144" ht="15.75" customHeight="1" s="35">
      <c r="A144" s="18" t="n"/>
      <c r="B144" s="18" t="n"/>
      <c r="C144" s="18" t="n"/>
      <c r="D144" s="18" t="n"/>
      <c r="E144" s="18" t="n"/>
      <c r="F144" s="18" t="n"/>
    </row>
    <row r="145" ht="15.75" customHeight="1" s="35">
      <c r="A145" s="18" t="n"/>
      <c r="B145" s="18" t="n"/>
      <c r="C145" s="18" t="n"/>
      <c r="D145" s="18" t="n"/>
      <c r="E145" s="18" t="n"/>
      <c r="F145" s="18" t="n"/>
    </row>
    <row r="146" ht="15.75" customHeight="1" s="35">
      <c r="A146" s="18" t="n"/>
      <c r="B146" s="18" t="n"/>
      <c r="C146" s="18" t="n"/>
      <c r="D146" s="18" t="n"/>
      <c r="E146" s="18" t="n"/>
      <c r="F146" s="18" t="n"/>
    </row>
    <row r="147" ht="15.75" customHeight="1" s="35">
      <c r="A147" s="18" t="n"/>
      <c r="B147" s="18" t="n"/>
      <c r="C147" s="18" t="n"/>
      <c r="D147" s="18" t="n"/>
      <c r="E147" s="18" t="n"/>
      <c r="F147" s="18" t="n"/>
    </row>
    <row r="148" ht="15.75" customHeight="1" s="35">
      <c r="A148" s="18" t="n"/>
      <c r="B148" s="18" t="n"/>
      <c r="C148" s="18" t="n"/>
      <c r="D148" s="18" t="n"/>
      <c r="E148" s="18" t="n"/>
      <c r="F148" s="18" t="n"/>
    </row>
    <row r="149" ht="15.75" customHeight="1" s="35">
      <c r="A149" s="18" t="n"/>
      <c r="B149" s="18" t="n"/>
      <c r="C149" s="18" t="n"/>
      <c r="D149" s="18" t="n"/>
      <c r="E149" s="18" t="n"/>
      <c r="F149" s="18" t="n"/>
    </row>
    <row r="150" ht="15.75" customHeight="1" s="35">
      <c r="A150" s="18" t="n"/>
      <c r="B150" s="18" t="n"/>
      <c r="C150" s="18" t="n"/>
      <c r="D150" s="18" t="n"/>
      <c r="E150" s="18" t="n"/>
      <c r="F150" s="18" t="n"/>
    </row>
    <row r="151" ht="15.75" customHeight="1" s="35">
      <c r="A151" s="18" t="n"/>
      <c r="B151" s="18" t="n"/>
      <c r="C151" s="18" t="n"/>
      <c r="D151" s="18" t="n"/>
      <c r="E151" s="18" t="n"/>
      <c r="F151" s="18" t="n"/>
    </row>
    <row r="152" ht="15.75" customHeight="1" s="35">
      <c r="A152" s="18" t="n"/>
      <c r="B152" s="18" t="n"/>
      <c r="C152" s="18" t="n"/>
      <c r="D152" s="18" t="n"/>
      <c r="E152" s="18" t="n"/>
      <c r="F152" s="18" t="n"/>
    </row>
    <row r="153" ht="15.75" customHeight="1" s="35">
      <c r="A153" s="18" t="n"/>
      <c r="B153" s="18" t="n"/>
      <c r="C153" s="18" t="n"/>
      <c r="D153" s="18" t="n"/>
      <c r="E153" s="18" t="n"/>
      <c r="F153" s="18" t="n"/>
    </row>
    <row r="154" ht="15.75" customHeight="1" s="35">
      <c r="A154" s="18" t="n"/>
      <c r="B154" s="18" t="n"/>
      <c r="C154" s="18" t="n"/>
      <c r="D154" s="18" t="n"/>
      <c r="E154" s="18" t="n"/>
      <c r="F154" s="18" t="n"/>
    </row>
    <row r="155" ht="15.75" customHeight="1" s="35">
      <c r="A155" s="18" t="n"/>
      <c r="B155" s="18" t="n"/>
      <c r="C155" s="18" t="n"/>
      <c r="D155" s="18" t="n"/>
      <c r="E155" s="18" t="n"/>
      <c r="F155" s="18" t="n"/>
    </row>
    <row r="156" ht="15.75" customHeight="1" s="35">
      <c r="A156" s="18" t="n"/>
      <c r="B156" s="18" t="n"/>
      <c r="C156" s="18" t="n"/>
      <c r="D156" s="18" t="n"/>
      <c r="E156" s="18" t="n"/>
      <c r="F156" s="18" t="n"/>
    </row>
    <row r="157" ht="15.75" customHeight="1" s="35">
      <c r="A157" s="18" t="n"/>
      <c r="B157" s="18" t="n"/>
      <c r="C157" s="18" t="n"/>
      <c r="D157" s="18" t="n"/>
      <c r="E157" s="18" t="n"/>
      <c r="F157" s="18" t="n"/>
    </row>
    <row r="158" ht="15.75" customHeight="1" s="35">
      <c r="A158" s="18" t="n"/>
      <c r="B158" s="18" t="n"/>
      <c r="C158" s="18" t="n"/>
      <c r="D158" s="18" t="n"/>
      <c r="E158" s="18" t="n"/>
      <c r="F158" s="18" t="n"/>
    </row>
    <row r="159" ht="15.75" customHeight="1" s="35">
      <c r="A159" s="18" t="n"/>
      <c r="B159" s="18" t="n"/>
      <c r="C159" s="18" t="n"/>
      <c r="D159" s="18" t="n"/>
      <c r="E159" s="18" t="n"/>
      <c r="F159" s="18" t="n"/>
    </row>
    <row r="160" ht="15.75" customHeight="1" s="35">
      <c r="A160" s="18" t="n"/>
      <c r="B160" s="18" t="n"/>
      <c r="C160" s="18" t="n"/>
      <c r="D160" s="18" t="n"/>
      <c r="E160" s="18" t="n"/>
      <c r="F160" s="18" t="n"/>
    </row>
    <row r="161" ht="15.75" customHeight="1" s="35">
      <c r="A161" s="18" t="n"/>
      <c r="B161" s="18" t="n"/>
      <c r="C161" s="18" t="n"/>
      <c r="D161" s="18" t="n"/>
      <c r="E161" s="18" t="n"/>
      <c r="F161" s="18" t="n"/>
    </row>
    <row r="162" ht="15.75" customHeight="1" s="35">
      <c r="A162" s="18" t="n"/>
      <c r="B162" s="18" t="n"/>
      <c r="C162" s="18" t="n"/>
      <c r="D162" s="18" t="n"/>
      <c r="E162" s="18" t="n"/>
      <c r="F162" s="18" t="n"/>
    </row>
    <row r="163" ht="15.75" customHeight="1" s="35">
      <c r="A163" s="18" t="n"/>
      <c r="B163" s="18" t="n"/>
      <c r="C163" s="18" t="n"/>
      <c r="D163" s="18" t="n"/>
      <c r="E163" s="18" t="n"/>
      <c r="F163" s="18" t="n"/>
    </row>
    <row r="164" ht="15.75" customHeight="1" s="35">
      <c r="A164" s="18" t="n"/>
      <c r="B164" s="18" t="n"/>
      <c r="C164" s="18" t="n"/>
      <c r="D164" s="18" t="n"/>
      <c r="E164" s="18" t="n"/>
      <c r="F164" s="18" t="n"/>
    </row>
    <row r="165" ht="15.75" customHeight="1" s="35">
      <c r="A165" s="18" t="n"/>
      <c r="B165" s="18" t="n"/>
      <c r="C165" s="18" t="n"/>
      <c r="D165" s="18" t="n"/>
      <c r="E165" s="18" t="n"/>
      <c r="F165" s="18" t="n"/>
    </row>
    <row r="166" ht="15.75" customHeight="1" s="35">
      <c r="A166" s="18" t="n"/>
      <c r="B166" s="18" t="n"/>
      <c r="C166" s="18" t="n"/>
      <c r="D166" s="18" t="n"/>
      <c r="E166" s="18" t="n"/>
      <c r="F166" s="18" t="n"/>
    </row>
    <row r="167" ht="15.75" customHeight="1" s="35">
      <c r="A167" s="18" t="n"/>
      <c r="B167" s="18" t="n"/>
      <c r="C167" s="18" t="n"/>
      <c r="D167" s="18" t="n"/>
      <c r="E167" s="18" t="n"/>
      <c r="F167" s="18" t="n"/>
    </row>
    <row r="168" ht="15.75" customHeight="1" s="35">
      <c r="A168" s="18" t="n"/>
      <c r="B168" s="18" t="n"/>
      <c r="C168" s="18" t="n"/>
      <c r="D168" s="18" t="n"/>
      <c r="E168" s="18" t="n"/>
      <c r="F168" s="18" t="n"/>
    </row>
    <row r="169" ht="15.75" customHeight="1" s="35">
      <c r="A169" s="18" t="n"/>
      <c r="B169" s="18" t="n"/>
      <c r="C169" s="18" t="n"/>
      <c r="D169" s="18" t="n"/>
      <c r="E169" s="18" t="n"/>
      <c r="F169" s="18" t="n"/>
    </row>
    <row r="170" ht="15.75" customHeight="1" s="35">
      <c r="A170" s="18" t="n"/>
      <c r="B170" s="18" t="n"/>
      <c r="C170" s="18" t="n"/>
      <c r="D170" s="18" t="n"/>
      <c r="E170" s="18" t="n"/>
      <c r="F170" s="18" t="n"/>
    </row>
    <row r="171" ht="15.75" customHeight="1" s="35">
      <c r="A171" s="18" t="n"/>
      <c r="B171" s="18" t="n"/>
      <c r="C171" s="18" t="n"/>
      <c r="D171" s="18" t="n"/>
      <c r="E171" s="18" t="n"/>
      <c r="F171" s="18" t="n"/>
    </row>
    <row r="172" ht="15.75" customHeight="1" s="35">
      <c r="A172" s="18" t="n"/>
      <c r="B172" s="18" t="n"/>
      <c r="C172" s="18" t="n"/>
      <c r="D172" s="18" t="n"/>
      <c r="E172" s="18" t="n"/>
      <c r="F172" s="18" t="n"/>
    </row>
    <row r="173" ht="15.75" customHeight="1" s="35">
      <c r="A173" s="18" t="n"/>
      <c r="B173" s="18" t="n"/>
      <c r="C173" s="18" t="n"/>
      <c r="D173" s="18" t="n"/>
      <c r="E173" s="18" t="n"/>
      <c r="F173" s="18" t="n"/>
    </row>
    <row r="174" ht="15.75" customHeight="1" s="35">
      <c r="A174" s="18" t="n"/>
      <c r="B174" s="18" t="n"/>
      <c r="C174" s="18" t="n"/>
      <c r="D174" s="18" t="n"/>
      <c r="E174" s="18" t="n"/>
      <c r="F174" s="18" t="n"/>
    </row>
    <row r="175" ht="15.75" customHeight="1" s="35">
      <c r="A175" s="18" t="n"/>
      <c r="B175" s="18" t="n"/>
      <c r="C175" s="18" t="n"/>
      <c r="D175" s="18" t="n"/>
      <c r="E175" s="18" t="n"/>
      <c r="F175" s="18" t="n"/>
    </row>
    <row r="176" ht="15.75" customHeight="1" s="35">
      <c r="A176" s="18" t="n"/>
      <c r="B176" s="18" t="n"/>
      <c r="C176" s="18" t="n"/>
      <c r="D176" s="18" t="n"/>
      <c r="E176" s="18" t="n"/>
      <c r="F176" s="18" t="n"/>
    </row>
    <row r="177" ht="15.75" customHeight="1" s="35">
      <c r="A177" s="18" t="n"/>
      <c r="B177" s="18" t="n"/>
      <c r="C177" s="18" t="n"/>
      <c r="D177" s="18" t="n"/>
      <c r="E177" s="18" t="n"/>
      <c r="F177" s="18" t="n"/>
    </row>
    <row r="178" ht="15.75" customHeight="1" s="35">
      <c r="A178" s="18" t="n"/>
      <c r="B178" s="18" t="n"/>
      <c r="C178" s="18" t="n"/>
      <c r="D178" s="18" t="n"/>
      <c r="E178" s="18" t="n"/>
      <c r="F178" s="18" t="n"/>
    </row>
    <row r="179" ht="15.75" customHeight="1" s="35">
      <c r="A179" s="18" t="n"/>
      <c r="B179" s="18" t="n"/>
      <c r="C179" s="18" t="n"/>
      <c r="D179" s="18" t="n"/>
      <c r="E179" s="18" t="n"/>
      <c r="F179" s="18" t="n"/>
    </row>
    <row r="180" ht="15.75" customHeight="1" s="35">
      <c r="A180" s="18" t="n"/>
      <c r="B180" s="18" t="n"/>
      <c r="C180" s="18" t="n"/>
      <c r="D180" s="18" t="n"/>
      <c r="E180" s="18" t="n"/>
      <c r="F180" s="18" t="n"/>
    </row>
    <row r="181" ht="15.75" customHeight="1" s="35">
      <c r="A181" s="18" t="n"/>
      <c r="B181" s="18" t="n"/>
      <c r="C181" s="18" t="n"/>
      <c r="D181" s="18" t="n"/>
      <c r="E181" s="18" t="n"/>
      <c r="F181" s="18" t="n"/>
    </row>
    <row r="182" ht="15.75" customHeight="1" s="35">
      <c r="A182" s="18" t="n"/>
      <c r="B182" s="18" t="n"/>
      <c r="C182" s="18" t="n"/>
      <c r="D182" s="18" t="n"/>
      <c r="E182" s="18" t="n"/>
      <c r="F182" s="18" t="n"/>
    </row>
    <row r="183" ht="15.75" customHeight="1" s="35">
      <c r="A183" s="18" t="n"/>
      <c r="B183" s="18" t="n"/>
      <c r="C183" s="18" t="n"/>
      <c r="D183" s="18" t="n"/>
      <c r="E183" s="18" t="n"/>
      <c r="F183" s="18" t="n"/>
    </row>
    <row r="184" ht="15.75" customHeight="1" s="35">
      <c r="A184" s="18" t="n"/>
      <c r="B184" s="18" t="n"/>
      <c r="C184" s="18" t="n"/>
      <c r="D184" s="18" t="n"/>
      <c r="E184" s="18" t="n"/>
      <c r="F184" s="18" t="n"/>
    </row>
    <row r="185" ht="15.75" customHeight="1" s="35">
      <c r="A185" s="18" t="n"/>
      <c r="B185" s="18" t="n"/>
      <c r="C185" s="18" t="n"/>
      <c r="D185" s="18" t="n"/>
      <c r="E185" s="18" t="n"/>
      <c r="F185" s="18" t="n"/>
    </row>
    <row r="186" ht="15.75" customHeight="1" s="35">
      <c r="A186" s="18" t="n"/>
      <c r="B186" s="18" t="n"/>
      <c r="C186" s="18" t="n"/>
      <c r="D186" s="18" t="n"/>
      <c r="E186" s="18" t="n"/>
      <c r="F186" s="18" t="n"/>
    </row>
    <row r="187" ht="15.75" customHeight="1" s="35">
      <c r="A187" s="18" t="n"/>
      <c r="B187" s="18" t="n"/>
      <c r="C187" s="18" t="n"/>
      <c r="D187" s="18" t="n"/>
      <c r="E187" s="18" t="n"/>
      <c r="F187" s="18" t="n"/>
    </row>
    <row r="188" ht="15.75" customHeight="1" s="35">
      <c r="A188" s="18" t="n"/>
      <c r="B188" s="18" t="n"/>
      <c r="C188" s="18" t="n"/>
      <c r="D188" s="18" t="n"/>
      <c r="E188" s="18" t="n"/>
      <c r="F188" s="18" t="n"/>
    </row>
    <row r="189" ht="15.75" customHeight="1" s="35">
      <c r="A189" s="18" t="n"/>
      <c r="B189" s="18" t="n"/>
      <c r="C189" s="18" t="n"/>
      <c r="D189" s="18" t="n"/>
      <c r="E189" s="18" t="n"/>
      <c r="F189" s="18" t="n"/>
    </row>
    <row r="190" ht="15.75" customHeight="1" s="35">
      <c r="A190" s="18" t="n"/>
      <c r="B190" s="18" t="n"/>
      <c r="C190" s="18" t="n"/>
      <c r="D190" s="18" t="n"/>
      <c r="E190" s="18" t="n"/>
      <c r="F190" s="18" t="n"/>
    </row>
    <row r="191" ht="15.75" customHeight="1" s="35">
      <c r="A191" s="18" t="n"/>
      <c r="B191" s="18" t="n"/>
      <c r="C191" s="18" t="n"/>
      <c r="D191" s="18" t="n"/>
      <c r="E191" s="18" t="n"/>
      <c r="F191" s="18" t="n"/>
    </row>
    <row r="192" ht="15.75" customHeight="1" s="35">
      <c r="A192" s="18" t="n"/>
      <c r="B192" s="18" t="n"/>
      <c r="C192" s="18" t="n"/>
      <c r="D192" s="18" t="n"/>
      <c r="E192" s="18" t="n"/>
      <c r="F192" s="18" t="n"/>
    </row>
    <row r="193" ht="15.75" customHeight="1" s="35">
      <c r="A193" s="18" t="n"/>
      <c r="B193" s="18" t="n"/>
      <c r="C193" s="18" t="n"/>
      <c r="D193" s="18" t="n"/>
      <c r="E193" s="18" t="n"/>
      <c r="F193" s="18" t="n"/>
    </row>
    <row r="194" ht="15.75" customHeight="1" s="35">
      <c r="A194" s="18" t="n"/>
      <c r="B194" s="18" t="n"/>
      <c r="C194" s="18" t="n"/>
      <c r="D194" s="18" t="n"/>
      <c r="E194" s="18" t="n"/>
      <c r="F194" s="18" t="n"/>
    </row>
    <row r="195" ht="15.75" customHeight="1" s="35">
      <c r="A195" s="18" t="n"/>
      <c r="B195" s="18" t="n"/>
      <c r="C195" s="18" t="n"/>
      <c r="D195" s="18" t="n"/>
      <c r="E195" s="18" t="n"/>
      <c r="F195" s="18" t="n"/>
    </row>
    <row r="196" ht="15.75" customHeight="1" s="35">
      <c r="A196" s="18" t="n"/>
      <c r="B196" s="18" t="n"/>
      <c r="C196" s="18" t="n"/>
      <c r="D196" s="18" t="n"/>
      <c r="E196" s="18" t="n"/>
      <c r="F196" s="18" t="n"/>
    </row>
    <row r="197" ht="15.75" customHeight="1" s="35">
      <c r="A197" s="18" t="n"/>
      <c r="B197" s="18" t="n"/>
      <c r="C197" s="18" t="n"/>
      <c r="D197" s="18" t="n"/>
      <c r="E197" s="18" t="n"/>
      <c r="F197" s="18" t="n"/>
    </row>
    <row r="198" ht="15.75" customHeight="1" s="35">
      <c r="A198" s="18" t="n"/>
      <c r="B198" s="18" t="n"/>
      <c r="C198" s="18" t="n"/>
      <c r="D198" s="18" t="n"/>
      <c r="E198" s="18" t="n"/>
      <c r="F198" s="18" t="n"/>
    </row>
    <row r="199" ht="15.75" customHeight="1" s="35">
      <c r="A199" s="18" t="n"/>
      <c r="B199" s="18" t="n"/>
      <c r="C199" s="18" t="n"/>
      <c r="D199" s="18" t="n"/>
      <c r="E199" s="18" t="n"/>
      <c r="F199" s="18" t="n"/>
    </row>
    <row r="200" ht="15.75" customHeight="1" s="35">
      <c r="A200" s="18" t="n"/>
      <c r="B200" s="18" t="n"/>
      <c r="C200" s="18" t="n"/>
      <c r="D200" s="18" t="n"/>
      <c r="E200" s="18" t="n"/>
      <c r="F200" s="18" t="n"/>
    </row>
    <row r="201" ht="15.75" customHeight="1" s="35">
      <c r="A201" s="18" t="n"/>
      <c r="B201" s="18" t="n"/>
      <c r="C201" s="18" t="n"/>
      <c r="D201" s="18" t="n"/>
      <c r="E201" s="18" t="n"/>
      <c r="F201" s="18" t="n"/>
    </row>
    <row r="202" ht="15.75" customHeight="1" s="35">
      <c r="A202" s="18" t="n"/>
      <c r="B202" s="18" t="n"/>
      <c r="C202" s="18" t="n"/>
      <c r="D202" s="18" t="n"/>
      <c r="E202" s="18" t="n"/>
      <c r="F202" s="18" t="n"/>
    </row>
    <row r="203" ht="15.75" customHeight="1" s="35">
      <c r="A203" s="18" t="n"/>
      <c r="B203" s="18" t="n"/>
      <c r="C203" s="18" t="n"/>
      <c r="D203" s="18" t="n"/>
      <c r="E203" s="18" t="n"/>
      <c r="F203" s="18" t="n"/>
    </row>
    <row r="204" ht="15.75" customHeight="1" s="35">
      <c r="A204" s="18" t="n"/>
      <c r="B204" s="18" t="n"/>
      <c r="C204" s="18" t="n"/>
      <c r="D204" s="18" t="n"/>
      <c r="E204" s="18" t="n"/>
      <c r="F204" s="18" t="n"/>
    </row>
    <row r="205" ht="15.75" customHeight="1" s="35">
      <c r="A205" s="18" t="n"/>
      <c r="B205" s="18" t="n"/>
      <c r="C205" s="18" t="n"/>
      <c r="D205" s="18" t="n"/>
      <c r="E205" s="18" t="n"/>
      <c r="F205" s="18" t="n"/>
    </row>
    <row r="206" ht="15.75" customHeight="1" s="35">
      <c r="A206" s="18" t="n"/>
      <c r="B206" s="18" t="n"/>
      <c r="C206" s="18" t="n"/>
      <c r="D206" s="18" t="n"/>
      <c r="E206" s="18" t="n"/>
      <c r="F206" s="18" t="n"/>
    </row>
    <row r="207" ht="15.75" customHeight="1" s="35">
      <c r="A207" s="18" t="n"/>
      <c r="B207" s="18" t="n"/>
      <c r="C207" s="18" t="n"/>
      <c r="D207" s="18" t="n"/>
      <c r="E207" s="18" t="n"/>
      <c r="F207" s="18" t="n"/>
    </row>
    <row r="208" ht="15.75" customHeight="1" s="35">
      <c r="A208" s="18" t="n"/>
      <c r="B208" s="18" t="n"/>
      <c r="C208" s="18" t="n"/>
      <c r="D208" s="18" t="n"/>
      <c r="E208" s="18" t="n"/>
      <c r="F208" s="18" t="n"/>
    </row>
    <row r="209" ht="15.75" customHeight="1" s="35">
      <c r="A209" s="18" t="n"/>
      <c r="B209" s="18" t="n"/>
      <c r="C209" s="18" t="n"/>
      <c r="D209" s="18" t="n"/>
      <c r="E209" s="18" t="n"/>
      <c r="F209" s="18" t="n"/>
    </row>
    <row r="210" ht="15.75" customHeight="1" s="35">
      <c r="A210" s="18" t="n"/>
      <c r="B210" s="18" t="n"/>
      <c r="C210" s="18" t="n"/>
      <c r="D210" s="18" t="n"/>
      <c r="E210" s="18" t="n"/>
      <c r="F210" s="18" t="n"/>
    </row>
    <row r="211" ht="15.75" customHeight="1" s="35">
      <c r="A211" s="18" t="n"/>
      <c r="B211" s="18" t="n"/>
      <c r="C211" s="18" t="n"/>
      <c r="D211" s="18" t="n"/>
      <c r="E211" s="18" t="n"/>
      <c r="F211" s="18" t="n"/>
    </row>
    <row r="212" ht="15.75" customHeight="1" s="35">
      <c r="A212" s="18" t="n"/>
      <c r="B212" s="18" t="n"/>
      <c r="C212" s="18" t="n"/>
      <c r="D212" s="18" t="n"/>
      <c r="E212" s="18" t="n"/>
      <c r="F212" s="18" t="n"/>
    </row>
    <row r="213" ht="15.75" customHeight="1" s="35">
      <c r="A213" s="18" t="n"/>
      <c r="B213" s="18" t="n"/>
      <c r="C213" s="18" t="n"/>
      <c r="D213" s="18" t="n"/>
      <c r="E213" s="18" t="n"/>
      <c r="F213" s="18" t="n"/>
    </row>
    <row r="214" ht="15.75" customHeight="1" s="35">
      <c r="A214" s="18" t="n"/>
      <c r="B214" s="18" t="n"/>
      <c r="C214" s="18" t="n"/>
      <c r="D214" s="18" t="n"/>
      <c r="E214" s="18" t="n"/>
      <c r="F214" s="18" t="n"/>
    </row>
    <row r="215" ht="15.75" customHeight="1" s="35">
      <c r="A215" s="18" t="n"/>
      <c r="B215" s="18" t="n"/>
      <c r="C215" s="18" t="n"/>
      <c r="D215" s="18" t="n"/>
      <c r="E215" s="18" t="n"/>
      <c r="F215" s="18" t="n"/>
    </row>
    <row r="216" ht="15.75" customHeight="1" s="35">
      <c r="A216" s="18" t="n"/>
      <c r="B216" s="18" t="n"/>
      <c r="C216" s="18" t="n"/>
      <c r="D216" s="18" t="n"/>
      <c r="E216" s="18" t="n"/>
      <c r="F216" s="18" t="n"/>
    </row>
    <row r="217" ht="15.75" customHeight="1" s="35">
      <c r="A217" s="18" t="n"/>
      <c r="B217" s="18" t="n"/>
      <c r="C217" s="18" t="n"/>
      <c r="D217" s="18" t="n"/>
      <c r="E217" s="18" t="n"/>
      <c r="F217" s="18" t="n"/>
    </row>
    <row r="218" ht="15.75" customHeight="1" s="35">
      <c r="A218" s="18" t="n"/>
      <c r="B218" s="18" t="n"/>
      <c r="C218" s="18" t="n"/>
      <c r="D218" s="18" t="n"/>
      <c r="E218" s="18" t="n"/>
      <c r="F218" s="18" t="n"/>
    </row>
    <row r="219" ht="15.75" customHeight="1" s="35">
      <c r="A219" s="18" t="n"/>
      <c r="B219" s="18" t="n"/>
      <c r="C219" s="18" t="n"/>
      <c r="D219" s="18" t="n"/>
      <c r="E219" s="18" t="n"/>
      <c r="F219" s="18" t="n"/>
    </row>
    <row r="220" ht="15.75" customHeight="1" s="35">
      <c r="A220" s="18" t="n"/>
      <c r="B220" s="18" t="n"/>
      <c r="C220" s="18" t="n"/>
      <c r="D220" s="18" t="n"/>
      <c r="E220" s="18" t="n"/>
      <c r="F220" s="18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8">
    <mergeCell ref="A2:F2"/>
    <mergeCell ref="B16:F16"/>
    <mergeCell ref="B15:F15"/>
    <mergeCell ref="A1:F1"/>
    <mergeCell ref="A12:F12"/>
    <mergeCell ref="B14:F14"/>
    <mergeCell ref="B17:F17"/>
    <mergeCell ref="B13:F13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48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5" min="1" max="6"/>
    <col width="73.29000000000001" customWidth="1" style="35" min="9" max="9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Country</t>
        </is>
      </c>
      <c r="D1" s="4" t="inlineStr">
        <is>
          <t>City</t>
        </is>
      </c>
      <c r="E1" s="4" t="inlineStr">
        <is>
          <t>Hotel</t>
        </is>
      </c>
      <c r="F1" s="4" t="inlineStr">
        <is>
          <t>From → To</t>
        </is>
      </c>
      <c r="G1" s="4" t="inlineStr">
        <is>
          <t>Distance / Time</t>
        </is>
      </c>
      <c r="H1" s="4" t="inlineStr">
        <is>
          <t>Start Time</t>
        </is>
      </c>
      <c r="I1" s="4" t="inlineStr">
        <is>
          <t>Description</t>
        </is>
      </c>
      <c r="J1" s="18" t="inlineStr">
        <is>
          <t>Parking</t>
        </is>
      </c>
      <c r="K1" s="18" t="inlineStr">
        <is>
          <t>Cost</t>
        </is>
      </c>
    </row>
    <row r="2">
      <c r="A2" s="17" t="n">
        <v>-1</v>
      </c>
      <c r="B2" s="17" t="n"/>
      <c r="C2" s="17" t="n"/>
      <c r="D2" s="17" t="n"/>
      <c r="E2" s="11" t="inlineStr">
        <is>
          <t>Airchina</t>
        </is>
      </c>
      <c r="F2" s="17" t="n"/>
      <c r="G2" s="17" t="n"/>
      <c r="H2" s="17" t="n"/>
      <c r="I2" s="17" t="n"/>
      <c r="K2" s="12" t="n">
        <v>11560</v>
      </c>
    </row>
    <row r="3">
      <c r="A3" s="17" t="n">
        <v>0</v>
      </c>
      <c r="B3" s="17" t="inlineStr">
        <is>
          <t>Sat 11 Jul</t>
        </is>
      </c>
      <c r="C3" s="17" t="inlineStr">
        <is>
          <t>Germany 🇩🇪</t>
        </is>
      </c>
      <c r="D3" s="17" t="inlineStr">
        <is>
          <t>Munich</t>
        </is>
      </c>
      <c r="E3" s="11" t="inlineStr">
        <is>
          <t>Budget Car Rental</t>
        </is>
      </c>
      <c r="F3" s="17" t="n"/>
      <c r="G3" s="17" t="n"/>
      <c r="H3" s="17" t="inlineStr">
        <is>
          <t>8.30am</t>
        </is>
      </c>
      <c r="I3" s="17" t="inlineStr">
        <is>
          <t>Car rental</t>
        </is>
      </c>
      <c r="K3" s="12" t="n">
        <v>1372.08</v>
      </c>
    </row>
    <row r="4">
      <c r="A4" s="17" t="n">
        <v>1</v>
      </c>
      <c r="B4" s="17" t="inlineStr">
        <is>
          <t>Sat 11 Jul</t>
        </is>
      </c>
      <c r="C4" s="17" t="inlineStr">
        <is>
          <t>Austria 🇦🇹</t>
        </is>
      </c>
      <c r="D4" s="17" t="inlineStr">
        <is>
          <t>Burg Altpernstein (Upper Austria)</t>
        </is>
      </c>
      <c r="E4" s="13" t="inlineStr">
        <is>
          <t>Burg Altpernstein</t>
        </is>
      </c>
      <c r="F4" s="17" t="inlineStr">
        <is>
          <t>Munich (land) → Burg Altpernstein</t>
        </is>
      </c>
      <c r="G4" s="17" t="inlineStr">
        <is>
          <t>~290 km · ~3 hrs</t>
        </is>
      </c>
      <c r="H4" s="17" t="inlineStr">
        <is>
          <t>Drive ~10:00 (after car pickup)</t>
        </is>
      </c>
      <c r="I4" s="17" t="inlineStr">
        <is>
          <t>Land MUC T2 07:05. Collect rental car ~09:00. Drive directly south-east to Burg Altpernstein castle hotel in Upper Austria. Check in afternoon. Saturday Vigil Mass at Stiftskirche Spital am Pyhrn (~30 min south, 7 PM). Castle dinner.</t>
        </is>
      </c>
      <c r="K4" s="17" t="n">
        <v>732</v>
      </c>
    </row>
    <row r="5">
      <c r="A5" s="17" t="n">
        <v>2</v>
      </c>
      <c r="B5" s="17" t="inlineStr">
        <is>
          <t>Sun 12 Jul</t>
        </is>
      </c>
      <c r="C5" s="17" t="inlineStr">
        <is>
          <t>Austria 🇦🇹</t>
        </is>
      </c>
      <c r="D5" s="17" t="inlineStr">
        <is>
          <t>Burg Altpernstein (Upper Austria)</t>
        </is>
      </c>
      <c r="E5" s="13" t="inlineStr">
        <is>
          <t>Burg Altpernstein</t>
        </is>
      </c>
      <c r="F5" s="17" t="inlineStr">
        <is>
          <t>Burg Altpernstein (base) — Hallstatt day trip optional</t>
        </is>
      </c>
      <c r="G5" s="17" t="inlineStr">
        <is>
          <t>Optional ~80 km / 1.5 hrs each way to Hallstatt</t>
        </is>
      </c>
      <c r="H5" s="17" t="inlineStr">
        <is>
          <t>09:00 Mass · day flexible</t>
        </is>
      </c>
      <c r="I5" s="17" t="inlineStr">
        <is>
          <t>Sunday Mass 9 AM at Stiftskirche Spital am Pyhrn. Optional afternoon: drive ~1.5hrs to Hallstatt — UNESCO village, salt mine, lakeside. Or relax at the castle, Pfarrkirche Kirchdorf an der Krems (5 min).</t>
        </is>
      </c>
      <c r="K5" s="36" t="n"/>
    </row>
    <row r="6">
      <c r="A6" s="17" t="n">
        <v>3</v>
      </c>
      <c r="B6" s="17" t="inlineStr">
        <is>
          <t>Mon 13 Jul</t>
        </is>
      </c>
      <c r="C6" s="17" t="inlineStr">
        <is>
          <t>Czechia 🇨🇿</t>
        </is>
      </c>
      <c r="D6" s="17" t="inlineStr">
        <is>
          <t>Prague</t>
        </is>
      </c>
      <c r="E6" s="13" t="inlineStr">
        <is>
          <t>Gold Art Apartment</t>
        </is>
      </c>
      <c r="F6" s="17" t="inlineStr">
        <is>
          <t>Burg Altpernstein → Prague</t>
        </is>
      </c>
      <c r="G6" s="17" t="inlineStr">
        <is>
          <t>~430 km · 4.5–5 hrs</t>
        </is>
      </c>
      <c r="H6" s="9" t="inlineStr">
        <is>
          <t>08:00</t>
        </is>
      </c>
      <c r="I6" s="17" t="inlineStr">
        <is>
          <t>Drive north to Prague. Arrive mid-afternoon — Charles Bridge at golden hour, Old Town Square, Czech beer hall. Check in to Gold Art Apartment. 🧺 LAUNDRY DROP: Prague Andy's Laundromat (Korunní 14, Vinohrady) — open 9am–8pm daily, ~€10–15 family load, cards OK, English-speaking. Drop on arrival, pick up before dinner.</t>
        </is>
      </c>
      <c r="K6" s="17" t="n">
        <v>630</v>
      </c>
    </row>
    <row r="7">
      <c r="A7" s="17" t="n">
        <v>4</v>
      </c>
      <c r="B7" s="17" t="inlineStr">
        <is>
          <t>Tue 14 Jul</t>
        </is>
      </c>
      <c r="C7" s="17" t="inlineStr">
        <is>
          <t>Czechia 🇨🇿</t>
        </is>
      </c>
      <c r="D7" s="17" t="inlineStr">
        <is>
          <t>Prague</t>
        </is>
      </c>
      <c r="E7" s="13" t="inlineStr">
        <is>
          <t>Gold Art Apartment</t>
        </is>
      </c>
      <c r="F7" s="17" t="inlineStr">
        <is>
          <t>Prague (full day)</t>
        </is>
      </c>
      <c r="G7" s="17" t="inlineStr">
        <is>
          <t>—</t>
        </is>
      </c>
      <c r="H7" s="17" t="inlineStr">
        <is>
          <t>Full day</t>
        </is>
      </c>
      <c r="I7" s="17" t="inlineStr">
        <is>
          <t>Prague Castle &amp; St. Vitus Cathedral, Josefov Jewish Quarter, Wenceslas Square, Vltava river cruise.</t>
        </is>
      </c>
      <c r="K7" s="36" t="n"/>
    </row>
    <row r="8">
      <c r="A8" s="17" t="n">
        <v>5</v>
      </c>
      <c r="B8" s="17" t="inlineStr">
        <is>
          <t>Wed 15 Jul</t>
        </is>
      </c>
      <c r="C8" s="17" t="inlineStr">
        <is>
          <t>Austria 🇦🇹</t>
        </is>
      </c>
      <c r="D8" s="17" t="inlineStr">
        <is>
          <t>Vienna</t>
        </is>
      </c>
      <c r="E8" s="13" t="inlineStr">
        <is>
          <t>The Levante Laudon</t>
        </is>
      </c>
      <c r="F8" s="17" t="inlineStr">
        <is>
          <t>Prague → Vienna</t>
        </is>
      </c>
      <c r="G8" s="17" t="inlineStr">
        <is>
          <t>~320 km · 3.5–4 hrs</t>
        </is>
      </c>
      <c r="H8" s="17" t="inlineStr">
        <is>
          <t>11:00</t>
        </is>
      </c>
      <c r="I8" s="17" t="inlineStr">
        <is>
          <t>Morning Prague Castle area. Drive south, arrive lunch. Schönbrunn Palace, Ringstrasse, Naschmarkt, Sachertorte at Café Sacher.</t>
        </is>
      </c>
      <c r="K8" s="17" t="n">
        <v>330</v>
      </c>
    </row>
    <row r="9">
      <c r="A9" s="17" t="n">
        <v>6</v>
      </c>
      <c r="B9" s="17" t="inlineStr">
        <is>
          <t>Thu 16 Jul</t>
        </is>
      </c>
      <c r="C9" s="17" t="inlineStr">
        <is>
          <t>Hungary 🇭🇺</t>
        </is>
      </c>
      <c r="D9" s="17" t="inlineStr">
        <is>
          <t>Budapest</t>
        </is>
      </c>
      <c r="E9" s="13" t="inlineStr">
        <is>
          <t>City Home Budapest</t>
        </is>
      </c>
      <c r="F9" s="17" t="inlineStr">
        <is>
          <t>Vienna → Budapest</t>
        </is>
      </c>
      <c r="G9" s="17" t="inlineStr">
        <is>
          <t>~270 km · 2.5–3.5 hrs</t>
        </is>
      </c>
      <c r="H9" s="17" t="inlineStr">
        <is>
          <t>10:00</t>
        </is>
      </c>
      <c r="I9" s="17" t="inlineStr">
        <is>
          <t>Drive Vienna→Budapest. 🧺 LAUNDRY DROP on arrival ~14:00: walk 7 min from City Home to self-service laundry at Dohány u. 37 (cash only HUF/€, ~3,000 HUF / €7.50, open 9am–10pm). Drop, then sightsee while it washes (~3 hrs). Park at City Home underground garage (~€20/night). Walk to Castle Hill via Chain Bridge — funicular up to Fisherman's Bastion, Matthias Church, Buda Castle exterior. Pick up clean clothes ~17:30. Széchenyi Thermal Baths via M1 metro from Oktogon. Goulash dinner; kürtőskalács for the kids. Parliament view from Buda side at sunset.</t>
        </is>
      </c>
      <c r="K9" s="17" t="n">
        <v>284</v>
      </c>
    </row>
    <row r="10">
      <c r="A10" s="17" t="n">
        <v>7</v>
      </c>
      <c r="B10" s="17" t="inlineStr">
        <is>
          <t>Fri 17 Jul</t>
        </is>
      </c>
      <c r="C10" s="17" t="inlineStr">
        <is>
          <t>Italy 🇮🇹 (via 🇸🇮)</t>
        </is>
      </c>
      <c r="D10" s="17" t="inlineStr">
        <is>
          <t>Venice / Mestre (mainland)</t>
        </is>
      </c>
      <c r="E10" s="13" t="inlineStr">
        <is>
          <t>QUEEN HOME Danila (Mestre)</t>
        </is>
      </c>
      <c r="F10" s="17" t="inlineStr">
        <is>
          <t>Budapest → Bled stop → Mestre</t>
        </is>
      </c>
      <c r="G10" s="17" t="inlineStr">
        <is>
          <t>~530 km · 8–9 hrs</t>
        </is>
      </c>
      <c r="H10" s="9" t="inlineStr">
        <is>
          <t>07:30</t>
        </is>
      </c>
      <c r="I10" s="17" t="inlineStr">
        <is>
          <t>Bled, Slovenia 2.5hr stop — emerald glacial lake, castle, kremšnita cake. Continue to Mestre (mainland Venice). Park free at hotel (much better than €30/day Piazzale Roma garage). Quick freshen-up, then train Mestre → Venezia Santa Lucia (~10 min, ~€1.50, every 5–10 min) for evening on the islands.</t>
        </is>
      </c>
      <c r="K10" s="18" t="n"/>
    </row>
    <row r="11">
      <c r="A11" s="17" t="n">
        <v>8</v>
      </c>
      <c r="B11" s="17" t="inlineStr">
        <is>
          <t>Sat 18 Jul</t>
        </is>
      </c>
      <c r="C11" s="17" t="inlineStr">
        <is>
          <t>Italy 🇮🇹</t>
        </is>
      </c>
      <c r="D11" s="17" t="inlineStr">
        <is>
          <t>Venice / Mestre (mainland)</t>
        </is>
      </c>
      <c r="E11" s="13" t="inlineStr">
        <is>
          <t>QUEEN HOME Danila (Mestre)</t>
        </is>
      </c>
      <c r="F11" s="17" t="inlineStr">
        <is>
          <t>Venice (full day)</t>
        </is>
      </c>
      <c r="G11" s="17" t="inlineStr">
        <is>
          <t>—</t>
        </is>
      </c>
      <c r="H11" s="17" t="inlineStr">
        <is>
          <t>Full day</t>
        </is>
      </c>
      <c r="I11" s="17" t="inlineStr">
        <is>
          <t>Full day on Venice islands. Train Mestre → Santa Lucia (~10 min). Gondola ride, St. Mark's Basilica &amp; Doge's Palace, Rialto Bridge, vaporetto to Burano. Train back to Mestre evening. 🧺 OPTIONAL top-up wash: BIO LAVATU at Viale San Marco 98 (300m / 4-min walk, same street as hotel) — only if you didn't do Budapest, or if kids' clothes are particularly grimy from the boat day.</t>
        </is>
      </c>
    </row>
    <row r="12">
      <c r="A12" s="17" t="n">
        <v>9</v>
      </c>
      <c r="B12" s="17" t="inlineStr">
        <is>
          <t>Sun 19 Jul</t>
        </is>
      </c>
      <c r="C12" s="17" t="inlineStr">
        <is>
          <t>Italy 🇮🇹</t>
        </is>
      </c>
      <c r="D12" s="17" t="inlineStr">
        <is>
          <t>Florence</t>
        </is>
      </c>
      <c r="E12" s="13" t="inlineStr">
        <is>
          <t>La Farina Apartments</t>
        </is>
      </c>
      <c r="F12" s="17" t="inlineStr">
        <is>
          <t>Venice → Florence</t>
        </is>
      </c>
      <c r="G12" s="17" t="inlineStr">
        <is>
          <t>~270 km · 3–3.5 hrs</t>
        </is>
      </c>
      <c r="H12" s="17" t="inlineStr">
        <is>
          <t>10:00</t>
        </is>
      </c>
      <c r="I12" s="17" t="inlineStr">
        <is>
          <t>Drive Mestre→Florence (~270 km · 3–3.5 hrs · start 10:00). La Farina Apartments — eastern Florence near Campo di Marte, has parking, ~10–15 min walk or short bus to Duomo. Apartment has kitchen, Nespresso, dishwasher. Afternoon: Duomo &amp; Baptistery, Ponte Vecchio, Piazzale Michelangelo at golden hour. 🧺 Building basement coin-op laundromat available (get coins from reception) — convenient for next cycle wash on Day 12 Rome timing.</t>
        </is>
      </c>
    </row>
    <row r="13">
      <c r="A13" s="17" t="n">
        <v>10</v>
      </c>
      <c r="B13" s="17" t="inlineStr">
        <is>
          <t>Mon 20 Jul</t>
        </is>
      </c>
      <c r="C13" s="17" t="inlineStr">
        <is>
          <t>Italy 🇮🇹 (via 🇺 Umbria)</t>
        </is>
      </c>
      <c r="D13" s="17" t="inlineStr">
        <is>
          <t>Rome (Aurelio · west of Vatican)</t>
        </is>
      </c>
      <c r="E13" s="13" t="inlineStr">
        <is>
          <t>DaBrieBra Vaticano</t>
        </is>
      </c>
      <c r="F13" s="17" t="inlineStr">
        <is>
          <t>Florence → Pisa → Montecchio → Perugia → Rome</t>
        </is>
      </c>
      <c r="G13" s="17" t="inlineStr">
        <is>
          <t>~570 km · 8+ hrs (incl stops)</t>
        </is>
      </c>
      <c r="H13" s="17" t="inlineStr">
        <is>
          <t>09:00 from Florence</t>
        </is>
      </c>
      <c r="I13" s="17" t="inlineStr">
        <is>
          <t>TRAVEL DAY: Florence→Rome via Tuscany+Umbria. Stops: Pisa (Tower photo, ~1hr), Castello di Montecchio Vesponi (~30min), Perugia (Palazzo dei Priori + Arco Etrusco, ~1hr). Arrive Rome ~19:30, check in DaBrieBra Vaticano (Aurelio · 17min walk Vatican). Evening: Cipro metro→Spagna→Trevi Fountain at night (lit, less crowded). ⚠️ Long day · drop Pisa OR Montecchio if kids fading.</t>
        </is>
      </c>
    </row>
    <row r="14">
      <c r="A14" s="17" t="n">
        <v>11</v>
      </c>
      <c r="B14" s="17" t="inlineStr">
        <is>
          <t>Tue 21 Jul</t>
        </is>
      </c>
      <c r="C14" s="17" t="inlineStr">
        <is>
          <t>Italy 🇮🇹</t>
        </is>
      </c>
      <c r="D14" s="17" t="inlineStr">
        <is>
          <t>Rome (Aurelio · west of Vatican)</t>
        </is>
      </c>
      <c r="E14" s="13" t="inlineStr">
        <is>
          <t>DaBrieBra Vaticano</t>
        </is>
      </c>
      <c r="F14" s="17" t="inlineStr">
        <is>
          <t>Rome → Villa Balke → Pompeii → Castello di Lettere → Rome</t>
        </is>
      </c>
      <c r="G14" s="17" t="inlineStr">
        <is>
          <t>~480 km round · 6+ hrs driving</t>
        </is>
      </c>
      <c r="H14" s="9" t="inlineStr">
        <is>
          <t>07:30 from Rome</t>
        </is>
      </c>
      <c r="I14" s="17" t="inlineStr">
        <is>
          <t>Pompeii + Naples coast day trip from Rome. 07:30 leave · 10:30 lunch at Villa Balke (Torre del Greco, 4.6★) · 12:30–15:00 Pompeii archaeological site (pre-book pompeiisites.org) · 15:30 Castello di Lettere quick stop (Vesuvius views) · ~16:30 drive back to Rome. Optional evening: Cipro→San Giovanni metro for Basilica of San Giovanni in Laterano (Cathedral of Rome, daily Mass 18:00). Skip San Giovanni if exhausted, see Day 12 morning.</t>
        </is>
      </c>
    </row>
    <row r="15">
      <c r="A15" s="17" t="n">
        <v>12</v>
      </c>
      <c r="B15" s="17" t="inlineStr">
        <is>
          <t>Wed 22 Jul</t>
        </is>
      </c>
      <c r="C15" s="17" t="inlineStr">
        <is>
          <t>Italy 🇮🇹 / Vatican City</t>
        </is>
      </c>
      <c r="D15" s="17" t="inlineStr">
        <is>
          <t>Rome — Vatican walking day</t>
        </is>
      </c>
      <c r="E15" s="13" t="inlineStr">
        <is>
          <t>DaBrieBra Vaticano</t>
        </is>
      </c>
      <c r="F15" s="17" t="inlineStr">
        <is>
          <t>Walking day (no driving)</t>
        </is>
      </c>
      <c r="G15" s="17" t="inlineStr">
        <is>
          <t>~10 km on foot</t>
        </is>
      </c>
      <c r="H15" s="17" t="inlineStr">
        <is>
          <t>07:00 leave hotel</t>
        </is>
      </c>
      <c r="I15" s="17" t="inlineStr">
        <is>
          <t>VATICAN DAY · the trip's biggest single day (~10km walking). 08:30 walk 17min to Vatican Museums entrance. 09:00 Vatican Museums (pre-booked museivaticani.va) · Gallery of Maps · Sistine Chapel. Use chapel-to-basilica shortcut into St. Peter's. Lunch in Borgo Pio (skip Via della Conciliazione tourist traps). Castel Sant'Angelo + Bridge of Angels. Walk to Piazza Navona for evening. Dinner around Piazza Navona, gelato Tre Scalini (truffle). Taxi back to hotel. Daily Mass at St. Peter's 17:00 (Italian) for today's Mass.</t>
        </is>
      </c>
    </row>
    <row r="16">
      <c r="A16" s="17" t="n">
        <v>13</v>
      </c>
      <c r="B16" s="17" t="inlineStr">
        <is>
          <t>Thu 23 Jul</t>
        </is>
      </c>
      <c r="C16" s="17" t="inlineStr">
        <is>
          <t>Italy 🇮🇹</t>
        </is>
      </c>
      <c r="D16" s="17" t="inlineStr">
        <is>
          <t>Milan</t>
        </is>
      </c>
      <c r="E16" s="17" t="inlineStr">
        <is>
          <t>TBD</t>
        </is>
      </c>
      <c r="F16" s="17" t="inlineStr">
        <is>
          <t>Rome → Florence stop → Milan</t>
        </is>
      </c>
      <c r="G16" s="17" t="inlineStr">
        <is>
          <t>~580 km · 6.5–7.5 hrs</t>
        </is>
      </c>
      <c r="H16" s="9" t="inlineStr">
        <is>
          <t>07:30</t>
        </is>
      </c>
      <c r="I16" s="17" t="inlineStr">
        <is>
          <t>Drive north. Florence stop ~1.5hrs — coffee at Piazzale Michelangelo. Milan — Duomo, Galleria, Navigli canal dinner.</t>
        </is>
      </c>
    </row>
    <row r="17">
      <c r="A17" s="17" t="n">
        <v>14</v>
      </c>
      <c r="B17" s="17" t="inlineStr">
        <is>
          <t>Fri 24 Jul</t>
        </is>
      </c>
      <c r="C17" s="17" t="inlineStr">
        <is>
          <t>Switzerland 🇨🇭</t>
        </is>
      </c>
      <c r="D17" s="17" t="inlineStr">
        <is>
          <t>Zermatt (Täsch)</t>
        </is>
      </c>
      <c r="E17" s="17" t="inlineStr">
        <is>
          <t>TBD</t>
        </is>
      </c>
      <c r="F17" s="17" t="inlineStr">
        <is>
          <t>Milan → Zermatt (Täsch)</t>
        </is>
      </c>
      <c r="G17" s="17" t="inlineStr">
        <is>
          <t>~220 km · 3–3.5 hrs</t>
        </is>
      </c>
      <c r="H17" s="17" t="inlineStr">
        <is>
          <t>10:00</t>
        </is>
      </c>
      <c r="I17" s="17" t="inlineStr">
        <is>
          <t>Park at Täsch (~€10/day) — car-free village. Shuttle 12min into Zermatt. Matterhorn golden hour.</t>
        </is>
      </c>
    </row>
    <row r="18">
      <c r="A18" s="17" t="n">
        <v>15</v>
      </c>
      <c r="B18" s="17" t="inlineStr">
        <is>
          <t>Sat 25 Jul</t>
        </is>
      </c>
      <c r="C18" s="17" t="inlineStr">
        <is>
          <t>Switzerland 🇨🇭</t>
        </is>
      </c>
      <c r="D18" s="17" t="inlineStr">
        <is>
          <t>Interlaken</t>
        </is>
      </c>
      <c r="E18" s="17" t="inlineStr">
        <is>
          <t>TBD</t>
        </is>
      </c>
      <c r="F18" s="17" t="inlineStr">
        <is>
          <t>Zermatt → Interlaken</t>
        </is>
      </c>
      <c r="G18" s="17" t="inlineStr">
        <is>
          <t>~130 km · 2.5–3 hrs</t>
        </is>
      </c>
      <c r="H18" s="9" t="inlineStr">
        <is>
          <t>Gornergrat 08:00</t>
        </is>
      </c>
      <c r="I18" s="17" t="inlineStr">
        <is>
          <t>Gornergrat Railway 08:00 → 3,089m, Matterhorn face-to-face. Drive Interlaken via mountain passes from 13:00.</t>
        </is>
      </c>
    </row>
    <row r="19">
      <c r="A19" s="17" t="n">
        <v>16</v>
      </c>
      <c r="B19" s="17" t="inlineStr">
        <is>
          <t>Sun 26 Jul</t>
        </is>
      </c>
      <c r="C19" s="17" t="inlineStr">
        <is>
          <t>Switzerland 🇨🇭</t>
        </is>
      </c>
      <c r="D19" s="17" t="inlineStr">
        <is>
          <t>Interlaken</t>
        </is>
      </c>
      <c r="E19" s="17" t="inlineStr">
        <is>
          <t>TBD (same Interlaken hotel)</t>
        </is>
      </c>
      <c r="F19" s="17" t="inlineStr">
        <is>
          <t>Interlaken — Jungfraujoch</t>
        </is>
      </c>
      <c r="G19" s="17" t="inlineStr">
        <is>
          <t>—</t>
        </is>
      </c>
      <c r="H19" s="17" t="inlineStr">
        <is>
          <t>07:00 depart</t>
        </is>
      </c>
      <c r="I19" s="17" t="inlineStr">
        <is>
          <t>Jungfraujoch "Top of Europe" cogwheel to 3,454m (book jungfrau.ch months ahead). Glacier panorama. 0°C at summit.</t>
        </is>
      </c>
    </row>
    <row r="20">
      <c r="A20" s="17" t="n">
        <v>17</v>
      </c>
      <c r="B20" s="17" t="inlineStr">
        <is>
          <t>Mon 27 Jul</t>
        </is>
      </c>
      <c r="C20" s="17" t="inlineStr">
        <is>
          <t>Switzerland 🇨🇭</t>
        </is>
      </c>
      <c r="D20" s="17" t="inlineStr">
        <is>
          <t>Zürich</t>
        </is>
      </c>
      <c r="E20" s="17" t="inlineStr">
        <is>
          <t>TBD</t>
        </is>
      </c>
      <c r="F20" s="17" t="inlineStr">
        <is>
          <t>Interlaken → Lausanne stop → Zürich</t>
        </is>
      </c>
      <c r="G20" s="17" t="inlineStr">
        <is>
          <t>~235 km · 3–3.5 hrs</t>
        </is>
      </c>
      <c r="H20" s="17" t="inlineStr">
        <is>
          <t>10:00</t>
        </is>
      </c>
      <c r="I20" s="17" t="inlineStr">
        <is>
          <t>Lake Geneva drive. Lausanne stop ~1.5hrs — Olympic Museum, lakefront. Zürich evening — Altstadt, Bahnhofstrasse.</t>
        </is>
      </c>
    </row>
    <row r="21" ht="15.75" customHeight="1" s="35">
      <c r="A21" s="17" t="n">
        <v>18</v>
      </c>
      <c r="B21" s="17" t="inlineStr">
        <is>
          <t>Tue 28 Jul</t>
        </is>
      </c>
      <c r="C21" s="17" t="inlineStr">
        <is>
          <t>France 🇫🇷</t>
        </is>
      </c>
      <c r="D21" s="17" t="inlineStr">
        <is>
          <t>Paris</t>
        </is>
      </c>
      <c r="E21" s="17" t="inlineStr">
        <is>
          <t>TBD</t>
        </is>
      </c>
      <c r="F21" s="17" t="inlineStr">
        <is>
          <t>Zürich → MUC drop → Paris</t>
        </is>
      </c>
      <c r="G21" s="17" t="inlineStr">
        <is>
          <t>~340 km + ✈ 1h 45m</t>
        </is>
      </c>
      <c r="H21" s="9" t="inlineStr">
        <is>
          <t>08:00</t>
        </is>
      </c>
      <c r="I21" s="17" t="inlineStr">
        <is>
          <t>Optional Rhine Falls 30min from Zürich. Drive MUC ~3.5hrs — drop rental car at T2. Fly MUC→CDG. Eiffel Tower evening.</t>
        </is>
      </c>
    </row>
    <row r="22" ht="15.75" customHeight="1" s="35">
      <c r="A22" s="17" t="n">
        <v>19</v>
      </c>
      <c r="B22" s="17" t="inlineStr">
        <is>
          <t>Wed 29 Jul</t>
        </is>
      </c>
      <c r="C22" s="17" t="inlineStr">
        <is>
          <t>France 🇫🇷</t>
        </is>
      </c>
      <c r="D22" s="17" t="inlineStr">
        <is>
          <t>Lourdes</t>
        </is>
      </c>
      <c r="E22" s="17" t="inlineStr">
        <is>
          <t>TBD</t>
        </is>
      </c>
      <c r="F22" s="17" t="inlineStr">
        <is>
          <t>Paris → Lourdes (TGV)</t>
        </is>
      </c>
      <c r="G22" s="17" t="inlineStr">
        <is>
          <t>🚆 TGV ~5 hrs</t>
        </is>
      </c>
      <c r="H22" s="9" t="inlineStr">
        <is>
          <t>08:00 from Montparnasse</t>
        </is>
      </c>
      <c r="I22" s="17" t="inlineStr">
        <is>
          <t>TGV Paris Montparnasse → Lourdes. Sanctuary of Our Lady, Grotto of Massabielle. Evening candlelight Torch Procession.</t>
        </is>
      </c>
    </row>
    <row r="23" ht="15.75" customHeight="1" s="35">
      <c r="A23" s="7" t="n">
        <v>20</v>
      </c>
      <c r="B23" s="7" t="inlineStr">
        <is>
          <t>Thu 30 Jul</t>
        </is>
      </c>
      <c r="C23" s="7" t="inlineStr">
        <is>
          <t>Netherlands 🇳🇱</t>
        </is>
      </c>
      <c r="D23" s="7" t="inlineStr">
        <is>
          <t>Amsterdam</t>
        </is>
      </c>
      <c r="E23" s="7" t="inlineStr">
        <is>
          <t>TBD</t>
        </is>
      </c>
      <c r="F23" s="7" t="inlineStr">
        <is>
          <t>Lourdes → Paris → Amsterdam</t>
        </is>
      </c>
      <c r="G23" s="7" t="inlineStr">
        <is>
          <t>🚆 TGV + Thalys</t>
        </is>
      </c>
      <c r="H23" s="7" t="inlineStr">
        <is>
          <t>08:00 Lourdes — critical!</t>
        </is>
      </c>
      <c r="I23" s="7" t="inlineStr">
        <is>
          <t>Sacred Baths + Mass 05:30–07:30. TGV Lourdes 08:00 → Paris 13:00. Taxi 40min Montparnasse → Gare du Nord. Thalys 14:13 → Amsterdam 17:32. Canal walk evening.</t>
        </is>
      </c>
    </row>
    <row r="24" ht="15.75" customHeight="1" s="35">
      <c r="A24" s="17" t="n">
        <v>21</v>
      </c>
      <c r="B24" s="17" t="inlineStr">
        <is>
          <t>Fri 31 Jul</t>
        </is>
      </c>
      <c r="C24" s="17" t="inlineStr">
        <is>
          <t>Germany 🇩🇪</t>
        </is>
      </c>
      <c r="D24" s="17" t="inlineStr">
        <is>
          <t>Berlin</t>
        </is>
      </c>
      <c r="E24" s="17" t="inlineStr">
        <is>
          <t>TBD</t>
        </is>
      </c>
      <c r="F24" s="17" t="inlineStr">
        <is>
          <t>Amsterdam → Berlin (ICE)</t>
        </is>
      </c>
      <c r="G24" s="17" t="inlineStr">
        <is>
          <t>🚆 ICE ~6 hrs</t>
        </is>
      </c>
      <c r="H24" s="17" t="inlineStr">
        <is>
          <t>09:00 from AMS</t>
        </is>
      </c>
      <c r="I24" s="17" t="inlineStr">
        <is>
          <t>Morning Amsterdam — canals, Rijksmuseum. ICE train to Berlin, arrive ~15:00. East Side Gallery, Brandenburg Gate at dusk.</t>
        </is>
      </c>
    </row>
    <row r="25" ht="15.75" customHeight="1" s="35">
      <c r="A25" s="17" t="n">
        <v>22</v>
      </c>
      <c r="B25" s="17" t="inlineStr">
        <is>
          <t>Sat 1 Aug</t>
        </is>
      </c>
      <c r="C25" s="17" t="inlineStr">
        <is>
          <t>Germany 🇩🇪</t>
        </is>
      </c>
      <c r="D25" s="17" t="inlineStr">
        <is>
          <t>Berlin</t>
        </is>
      </c>
      <c r="E25" s="17" t="inlineStr">
        <is>
          <t>TBD (same Berlin hotel)</t>
        </is>
      </c>
      <c r="F25" s="17" t="inlineStr">
        <is>
          <t>Berlin (full day)</t>
        </is>
      </c>
      <c r="G25" s="17" t="inlineStr">
        <is>
          <t>—</t>
        </is>
      </c>
      <c r="H25" s="17" t="inlineStr">
        <is>
          <t>Full day</t>
        </is>
      </c>
      <c r="I25" s="17" t="inlineStr">
        <is>
          <t>Holocaust Memorial, Reichstag dome (pre-register bundestag.de), East Side Gallery, Museum Island (Pergamon), Tiergarten.</t>
        </is>
      </c>
    </row>
    <row r="26" ht="15.75" customHeight="1" s="35">
      <c r="A26" s="7" t="n">
        <v>23</v>
      </c>
      <c r="B26" s="7" t="inlineStr">
        <is>
          <t>Sun 2 Aug</t>
        </is>
      </c>
      <c r="C26" s="7" t="inlineStr">
        <is>
          <t>Denmark 🇩🇰</t>
        </is>
      </c>
      <c r="D26" s="7" t="inlineStr">
        <is>
          <t>Copenhagen</t>
        </is>
      </c>
      <c r="E26" s="7" t="inlineStr">
        <is>
          <t>TBD</t>
        </is>
      </c>
      <c r="F26" s="7" t="inlineStr">
        <is>
          <t>Berlin → Copenhagen (fly)</t>
        </is>
      </c>
      <c r="G26" s="7" t="inlineStr">
        <is>
          <t>✈ ~1h 10min</t>
        </is>
      </c>
      <c r="H26" s="7" t="inlineStr">
        <is>
          <t>10:00 BER</t>
        </is>
      </c>
      <c r="I26" s="7" t="inlineStr">
        <is>
          <t>Fly BER→CPH. Arrive midday. Nyhavn colourful harbour, Tivoli Gardens, The Little Mermaid, Strøget shopping.</t>
        </is>
      </c>
    </row>
    <row r="27" ht="15.75" customHeight="1" s="35">
      <c r="A27" s="8" t="n">
        <v>24</v>
      </c>
      <c r="B27" s="8" t="inlineStr">
        <is>
          <t>Mon 3 Aug</t>
        </is>
      </c>
      <c r="C27" s="8" t="inlineStr">
        <is>
          <t>Sweden 🇸🇪</t>
        </is>
      </c>
      <c r="D27" s="8" t="inlineStr">
        <is>
          <t>Gothenburg</t>
        </is>
      </c>
      <c r="E27" s="8" t="inlineStr">
        <is>
          <t>TBD</t>
        </is>
      </c>
      <c r="F27" s="8" t="inlineStr">
        <is>
          <t>Copenhagen → Gothenburg (X2000)</t>
        </is>
      </c>
      <c r="G27" s="8" t="inlineStr">
        <is>
          <t>🚆 X2000 ~3.5 hrs</t>
        </is>
      </c>
      <c r="H27" s="8" t="inlineStr">
        <is>
          <t>11:00 from CPH</t>
        </is>
      </c>
      <c r="I27" s="8" t="inlineStr">
        <is>
          <t>Morning Copenhagen — Rosenborg Castle. X2000 train via Øresund Bridge. Meet sister! Harbour seafood dinner.</t>
        </is>
      </c>
    </row>
    <row r="28" ht="15.75" customHeight="1" s="35">
      <c r="A28" s="8" t="n">
        <v>25</v>
      </c>
      <c r="B28" s="8" t="inlineStr">
        <is>
          <t>Tue 4 Aug</t>
        </is>
      </c>
      <c r="C28" s="8" t="inlineStr">
        <is>
          <t>Sweden 🇸🇪</t>
        </is>
      </c>
      <c r="D28" s="8" t="inlineStr">
        <is>
          <t>Gothenburg</t>
        </is>
      </c>
      <c r="E28" s="8" t="inlineStr">
        <is>
          <t>TBD (same Gothenburg hotel)</t>
        </is>
      </c>
      <c r="F28" s="8" t="inlineStr">
        <is>
          <t>Gothenburg (full day)</t>
        </is>
      </c>
      <c r="G28" s="8" t="inlineStr">
        <is>
          <t>—</t>
        </is>
      </c>
      <c r="H28" s="8" t="inlineStr">
        <is>
          <t>Full day</t>
        </is>
      </c>
      <c r="I28" s="8" t="inlineStr">
        <is>
          <t>Liseberg amusement park, Haga cobblestone (giant cinnamon buns!), West Sweden Archipelago boat, harbour seafood evening.</t>
        </is>
      </c>
    </row>
    <row r="29" ht="15.75" customHeight="1" s="35">
      <c r="A29" s="17" t="inlineStr">
        <is>
          <t>—</t>
        </is>
      </c>
      <c r="B29" s="17" t="inlineStr">
        <is>
          <t>Wed 5 Aug</t>
        </is>
      </c>
      <c r="C29" s="17" t="inlineStr">
        <is>
          <t>Germany 🇩🇪</t>
        </is>
      </c>
      <c r="D29" s="17" t="inlineStr">
        <is>
          <t>Munich</t>
        </is>
      </c>
      <c r="E29" s="17" t="inlineStr">
        <is>
          <t>Novotel MUC Airport (TBD)</t>
        </is>
      </c>
      <c r="F29" s="17" t="inlineStr">
        <is>
          <t>Gothenburg → Munich (fly)</t>
        </is>
      </c>
      <c r="G29" s="17" t="inlineStr">
        <is>
          <t>✈ ~2 hrs</t>
        </is>
      </c>
      <c r="H29" s="9" t="inlineStr">
        <is>
          <t>06:30 GOT</t>
        </is>
      </c>
      <c r="I29" s="17" t="inlineStr">
        <is>
          <t>Wake 05:00. Taxi 05:20. GOT→MUC, land 08:30. Novotel MUC overnight ~€60–80 day-use OR full overnight. Optional Munich city via S-Bahn. Airport by 21:00.</t>
        </is>
      </c>
    </row>
    <row r="30" ht="15.75" customHeight="1" s="35">
      <c r="A30" s="17" t="inlineStr">
        <is>
          <t>—</t>
        </is>
      </c>
      <c r="B30" s="17" t="inlineStr">
        <is>
          <t>Thu 6 Aug</t>
        </is>
      </c>
      <c r="C30" s="17" t="inlineStr">
        <is>
          <t>In transit 🇩🇪→🇨🇳</t>
        </is>
      </c>
      <c r="D30" s="17" t="inlineStr">
        <is>
          <t>Munich → Beijing</t>
        </is>
      </c>
      <c r="E30" s="17" t="inlineStr">
        <is>
          <t>—</t>
        </is>
      </c>
      <c r="F30" s="17" t="inlineStr">
        <is>
          <t>Munich → Beijing (CA962)</t>
        </is>
      </c>
      <c r="G30" s="17" t="inlineStr">
        <is>
          <t>✈ 9h 45m</t>
        </is>
      </c>
      <c r="H30" s="17" t="inlineStr">
        <is>
          <t>13:00 depart</t>
        </is>
      </c>
      <c r="I30" s="17" t="inlineStr">
        <is>
          <t>Check-in MUC T2 by 10:30, board 11:00. Land PEK 04:45 Fri 7 Aug. Rest ~3hrs. Great Wall at Mutianyu. Back T3 by 21:00.</t>
        </is>
      </c>
    </row>
    <row r="31" ht="15.75" customHeight="1" s="35">
      <c r="A31" s="17" t="inlineStr">
        <is>
          <t>—</t>
        </is>
      </c>
      <c r="B31" s="17" t="inlineStr">
        <is>
          <t>Sat 8 Aug</t>
        </is>
      </c>
      <c r="C31" s="17" t="inlineStr">
        <is>
          <t>New Zealand 🇳🇿</t>
        </is>
      </c>
      <c r="D31" s="17" t="inlineStr">
        <is>
          <t>Auckland 🏠</t>
        </is>
      </c>
      <c r="E31" s="17" t="inlineStr">
        <is>
          <t>—</t>
        </is>
      </c>
      <c r="F31" s="17" t="inlineStr">
        <is>
          <t>Beijing → Auckland (CA783)</t>
        </is>
      </c>
      <c r="G31" s="17" t="inlineStr">
        <is>
          <t>✈ 12h 25m</t>
        </is>
      </c>
      <c r="H31" s="17" t="inlineStr">
        <is>
          <t>00:05 depart PEK</t>
        </is>
      </c>
      <c r="I31" s="17" t="inlineStr">
        <is>
          <t>CA783 PEK 00:05 → AKL 16:30. 25 nights, 23 destinations, two Beijing stopovers, sister visit — welcome home.</t>
        </is>
      </c>
    </row>
    <row r="32" ht="15.75" customHeight="1" s="35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>
      <c r="J40" s="18" t="inlineStr">
        <is>
          <t>Meals</t>
        </is>
      </c>
      <c r="K40" s="18">
        <f>150*28</f>
        <v/>
      </c>
    </row>
    <row r="41" ht="15.75" customHeight="1" s="35">
      <c r="A41" s="18" t="inlineStr">
        <is>
          <t>Fuel</t>
        </is>
      </c>
      <c r="J41" s="18" t="inlineStr">
        <is>
          <t>Fuel</t>
        </is>
      </c>
      <c r="K41" s="18" t="n">
        <v>3000</v>
      </c>
    </row>
    <row r="42" ht="15.75" customHeight="1" s="35">
      <c r="K42" s="18">
        <f>SUM(K2:K41)</f>
        <v/>
      </c>
    </row>
    <row r="43" ht="15.75" customHeight="1" s="35"/>
    <row r="44" ht="15.75" customHeight="1" s="35"/>
    <row r="45" ht="15.75" customHeight="1" s="35"/>
    <row r="46" ht="15.75" customHeight="1" s="35"/>
    <row r="47" ht="15.75" customHeight="1" s="35">
      <c r="J47" s="18" t="inlineStr">
        <is>
          <t>Rental cash saving</t>
        </is>
      </c>
      <c r="K47" s="18" t="n">
        <v>5000</v>
      </c>
    </row>
    <row r="48" ht="15.75" customHeight="1" s="35">
      <c r="J48" s="18" t="inlineStr">
        <is>
          <t>Cash back Kiwi</t>
        </is>
      </c>
      <c r="K48" s="18" t="n">
        <v>11560</v>
      </c>
    </row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">
    <mergeCell ref="K4:K5"/>
    <mergeCell ref="K6:K7"/>
    <mergeCell ref="K10:K1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2026-04-29T04:19:53Z</dcterms:created>
  <dcterms:modified xmlns:dcterms="http://purl.org/dc/terms/" xmlns:xsi="http://www.w3.org/2001/XMLSchema-instance" xsi:type="dcterms:W3CDTF">2026-05-21T10:56:17Z</dcterms:modified>
</cp:coreProperties>
</file>